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ЛабаБекПрСт\БекошинКурсоваяПриклСтатист\"/>
    </mc:Choice>
  </mc:AlternateContent>
  <bookViews>
    <workbookView xWindow="0" yWindow="0" windowWidth="16380" windowHeight="8190" tabRatio="895" firstSheet="17" activeTab="23"/>
  </bookViews>
  <sheets>
    <sheet name="Скач.Табл. 2022 ДТП" sheetId="34" r:id="rId1"/>
    <sheet name="Передел. Скач.Табл. 2022 ДТП" sheetId="35" r:id="rId2"/>
    <sheet name="Дин.Скач.ДТП2019" sheetId="36" r:id="rId3"/>
    <sheet name="Редач.Дин.ДТП2019" sheetId="37" r:id="rId4"/>
    <sheet name="ВосстРедач.Дин.ДТП2018" sheetId="38" r:id="rId5"/>
    <sheet name="Редач.Дин.ДТП2020" sheetId="40" r:id="rId6"/>
    <sheet name="Дин.Скач.ДТП2020" sheetId="39" r:id="rId7"/>
    <sheet name="ВосстРедач.Дин.ДТП2021" sheetId="42" r:id="rId8"/>
    <sheet name="Дин.Скач.ДТП2023" sheetId="43" r:id="rId9"/>
    <sheet name="Редач.Дин.ДТП2023" sheetId="44" r:id="rId10"/>
    <sheet name="Скачанные таблицы 2024 ДТП Плот" sheetId="1" r:id="rId11"/>
    <sheet name="Переделанная таблица 2024" sheetId="2" r:id="rId12"/>
    <sheet name="Рабочая таблица 2024" sheetId="3" r:id="rId13"/>
    <sheet name="ДиспАнДТП" sheetId="53" r:id="rId14"/>
    <sheet name="ДиспАнПлотность" sheetId="55" r:id="rId15"/>
    <sheet name="Таблица с одним кач и двумя кол" sheetId="6" r:id="rId16"/>
    <sheet name="Груп. по кач. пр. 1, 2" sheetId="19" r:id="rId17"/>
    <sheet name="Груп. по кол. пр. 1, 2" sheetId="20" r:id="rId18"/>
    <sheet name="РядДинамики" sheetId="26" r:id="rId19"/>
    <sheet name="РядДинамикиПродолжение" sheetId="45" r:id="rId20"/>
    <sheet name="ПакетАнализаРегрессия" sheetId="57" r:id="rId21"/>
    <sheet name="ВспомогательнаяКСводной" sheetId="9" r:id="rId22"/>
    <sheet name="АвтоматичВспомогатКРегрессии" sheetId="48" r:id="rId23"/>
    <sheet name="Уравнение регрессии" sheetId="27" r:id="rId24"/>
    <sheet name="DPCache_Рабочая таблица" sheetId="13" state="hidden" r:id="rId25"/>
    <sheet name="DPCache_Таблица с одним кач и д" sheetId="14" state="hidden" r:id="rId26"/>
    <sheet name="DPCache_Рабочая таблица -1" sheetId="15" state="hidden" r:id="rId27"/>
    <sheet name="DPCache_Рабочая таблица 0" sheetId="16" state="hidden" r:id="rId28"/>
    <sheet name="DPCache_Рабочая таблица 1" sheetId="17" state="hidden" r:id="rId29"/>
  </sheets>
  <definedNames>
    <definedName name="_xlnm._FilterDatabase" localSheetId="15" hidden="1">'Таблица с одним кач и двумя кол'!$B$2:$E$2</definedName>
  </definedNames>
  <calcPr calcId="152511"/>
  <pivotCaches>
    <pivotCache cacheId="0" r:id="rId30"/>
    <pivotCache cacheId="1" r:id="rId31"/>
  </pivotCaches>
</workbook>
</file>

<file path=xl/calcChain.xml><?xml version="1.0" encoding="utf-8"?>
<calcChain xmlns="http://schemas.openxmlformats.org/spreadsheetml/2006/main">
  <c r="G15" i="55" l="1"/>
  <c r="G16" i="55"/>
  <c r="G17" i="55"/>
  <c r="G18" i="55"/>
  <c r="G19" i="55"/>
  <c r="G20" i="55"/>
  <c r="G14" i="55"/>
  <c r="G21" i="55" s="1"/>
  <c r="F15" i="55"/>
  <c r="F16" i="55"/>
  <c r="F17" i="55"/>
  <c r="F18" i="55"/>
  <c r="F19" i="55"/>
  <c r="F20" i="55"/>
  <c r="F14" i="55"/>
  <c r="F21" i="55" s="1"/>
  <c r="M28" i="53"/>
  <c r="K28" i="53"/>
  <c r="M27" i="53"/>
  <c r="K27" i="53"/>
  <c r="I28" i="53"/>
  <c r="I27" i="53"/>
  <c r="B27" i="53"/>
  <c r="B26" i="53"/>
  <c r="E24" i="53"/>
  <c r="F24" i="53"/>
  <c r="F18" i="53"/>
  <c r="F19" i="53"/>
  <c r="F20" i="53"/>
  <c r="F21" i="53"/>
  <c r="F22" i="53"/>
  <c r="F23" i="53"/>
  <c r="F17" i="53"/>
  <c r="E18" i="53"/>
  <c r="E19" i="53"/>
  <c r="E20" i="53"/>
  <c r="E21" i="53"/>
  <c r="E22" i="53"/>
  <c r="E23" i="53"/>
  <c r="E17" i="53"/>
  <c r="L24" i="55" l="1"/>
  <c r="C24" i="55"/>
  <c r="J24" i="55"/>
  <c r="J25" i="55" s="1"/>
  <c r="N24" i="55"/>
  <c r="N25" i="55" s="1"/>
  <c r="C23" i="55"/>
  <c r="L25" i="55" l="1"/>
  <c r="E8" i="26" l="1"/>
  <c r="E7" i="26"/>
  <c r="E6" i="26"/>
  <c r="E4" i="26"/>
  <c r="E3" i="26"/>
  <c r="D8" i="26"/>
  <c r="D7" i="26"/>
  <c r="D6" i="26"/>
  <c r="D4" i="26"/>
  <c r="D3" i="26"/>
  <c r="C8" i="26"/>
  <c r="C7" i="26"/>
  <c r="C6" i="26"/>
  <c r="C4" i="26"/>
  <c r="C3" i="26"/>
  <c r="A10" i="45" l="1"/>
  <c r="E5" i="45"/>
  <c r="G5" i="45" s="1"/>
  <c r="E6" i="45"/>
  <c r="G6" i="45" s="1"/>
  <c r="E7" i="45"/>
  <c r="G7" i="45" s="1"/>
  <c r="E8" i="45"/>
  <c r="G8" i="45" s="1"/>
  <c r="E9" i="45"/>
  <c r="G9" i="45" s="1"/>
  <c r="E4" i="45"/>
  <c r="D5" i="45"/>
  <c r="F5" i="45" s="1"/>
  <c r="D6" i="45"/>
  <c r="F6" i="45" s="1"/>
  <c r="D7" i="45"/>
  <c r="F7" i="45" s="1"/>
  <c r="D8" i="45"/>
  <c r="F8" i="45" s="1"/>
  <c r="D9" i="45"/>
  <c r="F9" i="45" s="1"/>
  <c r="D4" i="45"/>
  <c r="F4" i="45" s="1"/>
  <c r="C5" i="45"/>
  <c r="C6" i="45"/>
  <c r="C7" i="45"/>
  <c r="C8" i="45"/>
  <c r="C9" i="45"/>
  <c r="C4" i="45"/>
  <c r="C10" i="45" s="1"/>
  <c r="B5" i="45"/>
  <c r="B6" i="45"/>
  <c r="B7" i="45"/>
  <c r="B8" i="45"/>
  <c r="B9" i="45"/>
  <c r="B4" i="45"/>
  <c r="D3" i="42"/>
  <c r="D4" i="42"/>
  <c r="D5" i="42"/>
  <c r="D6" i="42"/>
  <c r="D7" i="42"/>
  <c r="D8" i="42"/>
  <c r="D9" i="42"/>
  <c r="D10" i="42"/>
  <c r="D11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D60" i="42"/>
  <c r="D61" i="42"/>
  <c r="D62" i="42"/>
  <c r="D63" i="42"/>
  <c r="D64" i="42"/>
  <c r="D65" i="42"/>
  <c r="D66" i="42"/>
  <c r="D67" i="42"/>
  <c r="D68" i="42"/>
  <c r="D69" i="42"/>
  <c r="D70" i="42"/>
  <c r="D71" i="42"/>
  <c r="D72" i="42"/>
  <c r="D73" i="42"/>
  <c r="D74" i="42"/>
  <c r="D75" i="42"/>
  <c r="D76" i="42"/>
  <c r="D77" i="42"/>
  <c r="D78" i="42"/>
  <c r="D79" i="42"/>
  <c r="D80" i="42"/>
  <c r="D81" i="42"/>
  <c r="D82" i="42"/>
  <c r="D83" i="42"/>
  <c r="D84" i="42"/>
  <c r="D85" i="42"/>
  <c r="D86" i="42"/>
  <c r="D2" i="42"/>
  <c r="D3" i="38"/>
  <c r="D4" i="38"/>
  <c r="D5" i="38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D40" i="38"/>
  <c r="D41" i="38"/>
  <c r="D42" i="38"/>
  <c r="D43" i="38"/>
  <c r="D44" i="38"/>
  <c r="D45" i="38"/>
  <c r="D46" i="38"/>
  <c r="D47" i="38"/>
  <c r="D48" i="38"/>
  <c r="D49" i="38"/>
  <c r="D50" i="38"/>
  <c r="D51" i="38"/>
  <c r="D52" i="38"/>
  <c r="D53" i="38"/>
  <c r="D54" i="38"/>
  <c r="D55" i="38"/>
  <c r="D56" i="38"/>
  <c r="D57" i="38"/>
  <c r="D58" i="38"/>
  <c r="D59" i="38"/>
  <c r="D60" i="38"/>
  <c r="D61" i="38"/>
  <c r="D62" i="38"/>
  <c r="D63" i="38"/>
  <c r="D64" i="38"/>
  <c r="D65" i="38"/>
  <c r="D66" i="38"/>
  <c r="D67" i="38"/>
  <c r="D68" i="38"/>
  <c r="D69" i="38"/>
  <c r="D70" i="38"/>
  <c r="D71" i="38"/>
  <c r="D72" i="38"/>
  <c r="D73" i="38"/>
  <c r="D74" i="38"/>
  <c r="D75" i="38"/>
  <c r="D76" i="38"/>
  <c r="D77" i="38"/>
  <c r="D78" i="38"/>
  <c r="D79" i="38"/>
  <c r="D80" i="38"/>
  <c r="D81" i="38"/>
  <c r="D82" i="38"/>
  <c r="D83" i="38"/>
  <c r="D84" i="38"/>
  <c r="D85" i="38"/>
  <c r="D86" i="38"/>
  <c r="D2" i="38"/>
  <c r="D2" i="26" l="1"/>
  <c r="E2" i="26"/>
  <c r="C2" i="26"/>
  <c r="G4" i="45"/>
  <c r="E11" i="45"/>
  <c r="G11" i="45" s="1"/>
  <c r="E5" i="26"/>
  <c r="C5" i="26"/>
  <c r="D5" i="26"/>
  <c r="E10" i="45"/>
  <c r="G10" i="45" s="1"/>
</calcChain>
</file>

<file path=xl/sharedStrings.xml><?xml version="1.0" encoding="utf-8"?>
<sst xmlns="http://schemas.openxmlformats.org/spreadsheetml/2006/main" count="2958" uniqueCount="245">
  <si>
    <t>Место</t>
  </si>
  <si>
    <t>Регион</t>
  </si>
  <si>
    <t>Количество ДТП с пострадавшими на 100 тыс. ед. автотранспорта в январе-июне 2024 г.</t>
  </si>
  <si>
    <t>Изменение количества ДТП с пострадавшими по сранению с январем-июнем 2023 г., %</t>
  </si>
  <si>
    <t>Число пострадавших (погибших и раненых) в ДТП на 100 тыс. жителей в январе-июне 2024 г.</t>
  </si>
  <si>
    <t>Доля автомобильных дорог общего пользования регионального или межмуниципального значения и местного значения, отвечающих нормативным требованиям, в общей протяженности соответствующих дорог на конец 2023 года, %</t>
  </si>
  <si>
    <t>Плотность автомобильных дорог общего пользования с твердым покрытием, километров дорог на 1000 км² территории</t>
  </si>
  <si>
    <t>Ярославская область</t>
  </si>
  <si>
    <t>Ямало-Ненецкий автономный округ</t>
  </si>
  <si>
    <t>Чукотский автономный округ</t>
  </si>
  <si>
    <t>Чувашская Республика</t>
  </si>
  <si>
    <t>Чеченская Республика</t>
  </si>
  <si>
    <t>Челябинская область</t>
  </si>
  <si>
    <t>-</t>
  </si>
  <si>
    <t>Херсонская область</t>
  </si>
  <si>
    <t>Н/Д</t>
  </si>
  <si>
    <t>Ханты-Мансийский автономный округ — Югра</t>
  </si>
  <si>
    <t>Хабаровский край</t>
  </si>
  <si>
    <t>Ульяновская область</t>
  </si>
  <si>
    <t>Удмуртская Республика</t>
  </si>
  <si>
    <t>Тюменская область</t>
  </si>
  <si>
    <t>Тульская область</t>
  </si>
  <si>
    <t>Томская область</t>
  </si>
  <si>
    <t>Тверская область</t>
  </si>
  <si>
    <t>Тамбовская область</t>
  </si>
  <si>
    <t>Ставропольский край</t>
  </si>
  <si>
    <t>Смоленская область</t>
  </si>
  <si>
    <t>Севастополь</t>
  </si>
  <si>
    <t>Свердловская область</t>
  </si>
  <si>
    <t>Сахалинская область</t>
  </si>
  <si>
    <t>Саратовская область</t>
  </si>
  <si>
    <t>Санкт-Петербург</t>
  </si>
  <si>
    <t>Самарская область</t>
  </si>
  <si>
    <t>Рязанская область</t>
  </si>
  <si>
    <t>Ростовская область</t>
  </si>
  <si>
    <t>Республика Хакасия</t>
  </si>
  <si>
    <t>Республика Тыва</t>
  </si>
  <si>
    <t>Республика Татарстан</t>
  </si>
  <si>
    <t>Республика Северная Осетия — Алания</t>
  </si>
  <si>
    <t>Республика Саха (Якутия)</t>
  </si>
  <si>
    <t>Республика Мордовия</t>
  </si>
  <si>
    <t>Республика Марий Эл</t>
  </si>
  <si>
    <t>Республика Крым</t>
  </si>
  <si>
    <t>Республика Коми</t>
  </si>
  <si>
    <t>Республика Карелия</t>
  </si>
  <si>
    <t>Республика Калмыкия</t>
  </si>
  <si>
    <t>Республика Ингушетия</t>
  </si>
  <si>
    <t>Республика Дагестан</t>
  </si>
  <si>
    <t>Республика Бурятия</t>
  </si>
  <si>
    <t>Республика Башкортостан</t>
  </si>
  <si>
    <t>Республика Алтай</t>
  </si>
  <si>
    <t>Республика Адыгея</t>
  </si>
  <si>
    <t>Псковская область</t>
  </si>
  <si>
    <t>Приморский край</t>
  </si>
  <si>
    <t>Пермский край</t>
  </si>
  <si>
    <t>Пензенская область</t>
  </si>
  <si>
    <t>Орловская область</t>
  </si>
  <si>
    <t>Оренбургская область</t>
  </si>
  <si>
    <t>Омская область</t>
  </si>
  <si>
    <t>Новосибирская область</t>
  </si>
  <si>
    <t>Новгородская область</t>
  </si>
  <si>
    <t>Нижегородская область</t>
  </si>
  <si>
    <t>Ненецкий автономный округ</t>
  </si>
  <si>
    <t>Мурманская область</t>
  </si>
  <si>
    <t>Московская область</t>
  </si>
  <si>
    <t>Москва</t>
  </si>
  <si>
    <t>Магаданская область</t>
  </si>
  <si>
    <t>Луганская Народная Республика</t>
  </si>
  <si>
    <t>Липецкая область</t>
  </si>
  <si>
    <t>Ленинградская область</t>
  </si>
  <si>
    <t>Курская область</t>
  </si>
  <si>
    <t>Курганская область</t>
  </si>
  <si>
    <t>Красноярский край</t>
  </si>
  <si>
    <t>Краснодарский край</t>
  </si>
  <si>
    <t>Костромская область</t>
  </si>
  <si>
    <t>Кировская область</t>
  </si>
  <si>
    <t>Кемеровская область</t>
  </si>
  <si>
    <t>Карачаево-Черкесская Республика</t>
  </si>
  <si>
    <t>Камчатский край</t>
  </si>
  <si>
    <t>Калужская область</t>
  </si>
  <si>
    <t>Калининградская область</t>
  </si>
  <si>
    <t>Кабардино-Балкарская Республика</t>
  </si>
  <si>
    <t>Иркутская область</t>
  </si>
  <si>
    <t>Ивановская область</t>
  </si>
  <si>
    <t>Запорожская область</t>
  </si>
  <si>
    <t>Забайкальский край</t>
  </si>
  <si>
    <t>Еврейская автономная область</t>
  </si>
  <si>
    <t>Донецкая Народная Республика</t>
  </si>
  <si>
    <t>Воронежская область</t>
  </si>
  <si>
    <t>Вологодская область</t>
  </si>
  <si>
    <t>Волгоградская область</t>
  </si>
  <si>
    <t>Владимирская область</t>
  </si>
  <si>
    <t>Брянская область</t>
  </si>
  <si>
    <t>Белгородская область</t>
  </si>
  <si>
    <t>Астраханская область</t>
  </si>
  <si>
    <t>Архангельская область</t>
  </si>
  <si>
    <t>Амурская область</t>
  </si>
  <si>
    <t>Алтайский край</t>
  </si>
  <si>
    <t>Российская Федерация</t>
  </si>
  <si>
    <t>К какому Федеральному округу принадлежит</t>
  </si>
  <si>
    <t>Центральный федеральный округ</t>
  </si>
  <si>
    <t>Уральский федеральный округ</t>
  </si>
  <si>
    <t>Дальневосточный федеральный округ</t>
  </si>
  <si>
    <t>Приволжский федеральный округ</t>
  </si>
  <si>
    <t>Южный федеральный округ</t>
  </si>
  <si>
    <t>Сибирский федеральный округ</t>
  </si>
  <si>
    <t>Северо-Западный федеральный округ</t>
  </si>
  <si>
    <t>Среднее по полю Плотность автомобильных дорог общего пользования с твердым покрытием, километров дорог на 1000 км² территории</t>
  </si>
  <si>
    <t>единица наблюдения, регион</t>
  </si>
  <si>
    <t>Общий итог</t>
  </si>
  <si>
    <t>Среднее по полю Количество ДТП с пострадавшими на 100 тыс. ед. автотранспорта в январе-июне 2024 г.</t>
  </si>
  <si>
    <t>11,1-51,1</t>
  </si>
  <si>
    <t>51,1-91,1</t>
  </si>
  <si>
    <t>91,1-131,1</t>
  </si>
  <si>
    <t>131,1-171,1</t>
  </si>
  <si>
    <t>171,1-211,1</t>
  </si>
  <si>
    <t>211,1-251,1</t>
  </si>
  <si>
    <t>251,1-291,1</t>
  </si>
  <si>
    <t>1,3-201,3</t>
  </si>
  <si>
    <t>201,3-401,3</t>
  </si>
  <si>
    <t>401,3-601,3</t>
  </si>
  <si>
    <t>601,3-801,3</t>
  </si>
  <si>
    <t>801,3-1001,3</t>
  </si>
  <si>
    <t>1001,3-1201,3</t>
  </si>
  <si>
    <t>1201,3-1401,3</t>
  </si>
  <si>
    <t>2401,3-2601,3</t>
  </si>
  <si>
    <t>Минимум по полю Количество ДТП с пострадавшими на 100 тыс. ед. автотранспорта в январе-июне 2024 г.</t>
  </si>
  <si>
    <t>Максимум по полю Количество ДТП с пострадавшими на 100 тыс. ед. автотранспорта в январе-июне 2024 г.</t>
  </si>
  <si>
    <t>Минимум по полю Плотность автомобильных дорог общего пользования с твердым покрытием, километров дорог на 1000 км² территории</t>
  </si>
  <si>
    <t>Максимум по полю Плотность автомобильных дорог общего пользования с твердым покрытием, километров дорог на 1000 км² территории</t>
  </si>
  <si>
    <t>Уравнение регрессии:</t>
  </si>
  <si>
    <t>y = -1,6214x + 482,3</t>
  </si>
  <si>
    <t>R² = 0,0219</t>
  </si>
  <si>
    <t>По вертикальной оси - Плотность автомобильных дорог общего пользования с твердым покрытием, километров дорог на 1000 км² территории</t>
  </si>
  <si>
    <t>По горизонтальной оси - Количество ДТП с пострадавшими на 100 тыс. ед. автотранспорта в январе-июне 2024 г.</t>
  </si>
  <si>
    <t>Количество ДТП с пострадавшими на 100 тыс. ед. автотранспорта в январе-июне 2022 г.</t>
  </si>
  <si>
    <t>Изменение количества ДТП с пострадавшими по сранению с январем-июнем 2021 г., %</t>
  </si>
  <si>
    <t>Число пострадавших (погибших и раненых) в ДТП на 100 тыс. жителей в январе-июне 2022 г.</t>
  </si>
  <si>
    <t>Субъект РФ</t>
  </si>
  <si>
    <t>Количество ДТП с пострадавшими на 100 тысяч автомобилей в 2019 году</t>
  </si>
  <si>
    <t>Изменение количества ДТП с пострадавшими по сравнению с 2018 г., %</t>
  </si>
  <si>
    <t>Число пострадавших в ДТП (погибших и раненых) на 100 тысяч человек в 2019 году</t>
  </si>
  <si>
    <t>Число погибших на 1000 пострадавших в 2019 году</t>
  </si>
  <si>
    <t>Количество ДТП с пострадавшими на 100 тысяч автомобилей в 2018 году</t>
  </si>
  <si>
    <t>Количество ДТП с пострадавшими на 100 тысяч автомобилей в январе-сентябре 2020 г.</t>
  </si>
  <si>
    <t>Изменение количества ДТП с пострадавшими по сравнению с январем-сентябрем 2019 г., %</t>
  </si>
  <si>
    <t>Число пострадавших в ДТП (погибших и раненых) на 100 тысяч жителей в январе-сентябре 2020 г.</t>
  </si>
  <si>
    <t>Число погибших в ДТП на 1 тыс. пострадавших</t>
  </si>
  <si>
    <t>Количество ДТП с пострадавшими на 100 тыс. ед. автотранспорта в январе-июне 2021 г.</t>
  </si>
  <si>
    <t>Количество ДТП с пострадавшими на 100 тыс. автомобилей в январе-июне 2023 г.</t>
  </si>
  <si>
    <t>Изменение количества ДТП с пострадавшими по сранению с январем-июнем 2022 г., %</t>
  </si>
  <si>
    <t>Число пострадавших в ДТП (погибших и раненых) в ДТП на 100 тыс. жителей в январе-июне 2023 г.</t>
  </si>
  <si>
    <t>Ханты-Мансийский автономный округ – Югра</t>
  </si>
  <si>
    <t>Республика Северная Осетия – Алания</t>
  </si>
  <si>
    <t>Количество ДТП с пострадавшими на 100 тысяч автомобилей за год</t>
  </si>
  <si>
    <t>Абсолютный прирост</t>
  </si>
  <si>
    <t>Темпы роста</t>
  </si>
  <si>
    <t>Темпы прироста</t>
  </si>
  <si>
    <t>Факторный признак</t>
  </si>
  <si>
    <t>=</t>
  </si>
  <si>
    <t>+</t>
  </si>
  <si>
    <t>Вывод: федеральным округом, который имеет лидирующую позицию среди других федеральных округов по субъекту Федерации с наименьшим числом плотности дорог по сравнению с другими городами того же округа, является Центральный федеральный округ. Дальневосточный федеральный округ находится последним в списке среди федеральных округов, если брать во счёт субъект Федерации с наименьшей плотностью дорог в нем, по сравнению с другими городами в том же округе.</t>
  </si>
  <si>
    <t>Вывод: федеральным округом, который имеет лидирующую позицию среди других федеральных округов по субъекту Федерации, в котором плотность дорог имеет максимальное значение по сравнению с другими городами этого округа, является Северо-западный федеральный округ, а последнее место в списке всех федеральных округов по выбору субъекта Федерации с максимальной плотностью дорог занимает Дальневосточный федеральный округ</t>
  </si>
  <si>
    <t>Вывод: Уральский федеральный округ имеет минимальное относительно других округов среднее число ДТП среди городов в нем, а Сибирский федеральный округ имеет максимальное среди других округов среднее число ДТП среди субъектов Федерации в этом округе.</t>
  </si>
  <si>
    <t>Вывод: Южный федеральный округ имеет город, в котором совершается минимальное число ДТП среди других городов в других федеральных округах, эти субъекты Федерации находятся в разных федеральных округах и имеют минимальное число ДТП среди городов, которые принадлежат к тому же федеральному округу</t>
  </si>
  <si>
    <t>Вывод: Северо-Западный федеральный округ занимает лидирующее место среди других федеральных округов по наличию субъекта Федерации, в котором совершается максимальное число ДТП среди других городов этого же округа, а последнее место среди федеральных округов, в котором рассматривается город с максимальным числом ДТП по сравнению с субъектами Федерации того же округа.</t>
  </si>
  <si>
    <t>Вывод: Центральный федеральный округ по сравнению с другими федеральными округами имеет максимальное среднее число плотности дорог среди всех городов в нем, а Дальневосточный федеральный округ, относительно других Федеральных округов, имеет минимальное среднее число плотности дорог среди городов в нем.</t>
  </si>
  <si>
    <t>Вывод: если сравнивать федеральные округа по одному взятому из каждого округа субъекту Федерации по такой относительной особенности как минимальное число плотности дорог , то лидирующую позицию занимает Центральный федеральный округ, последнее место в списке таких федеральных округов занимает Дальневосточный федеральный округ.</t>
  </si>
  <si>
    <t>вывод: если рассматривать федеральные округа, в которых объявлен в каждом из них субъект Федерации как регион с максимальным числом плотности дорог по сравнению с данными других городов того же федерального округа, то лидирующую позицию занимает Северо-Западный федеральный округ, а последнее место - Дальневосточный федеральный округ</t>
  </si>
  <si>
    <t>Год</t>
  </si>
  <si>
    <t>Диапазон значений количества ДТП с пострадавшими на 100 тыс. ед. автотранспорта в январе-июне 2024 г.</t>
  </si>
  <si>
    <t>Вывод: данные показывают корреляцию между плотностью автомобильных дорог и количеством ДТП с пострадавшими. Наблюдается тенденция к снижению плотности дорог при увеличении количества ДТП на 100 тысяч единиц автотранспорта. Максимальная плотность дорог (422 км на 1000 км²) наблюдается в диапазоне 51-91 ДТП на 100 тыс. ед. автотранспорта, а минимальная (22,2 км на 1000 км²) - в диапазоне 251-291 ДТП. Средняя плотность дорог составляет 312,56 км на 1000 км².</t>
  </si>
  <si>
    <t>Вывод: данные показывают обратную зависимость между минимальной плотностью автомобильных дорог общего пользования с твердым покрытием и количеством ДТП с пострадавшими за период январь-июнь 2024 года. Наименьшая плотность дорог (1,3 км на 1000 км²) наблюдается при наибольшем количестве ДТП (более 251 на 100 тыс. единиц автотранспорта). Плотность дорог возрастает с уменьшением числа ДТП, достигая максимума (93,2 км на 1000 км²) в диапазоне 171-211 ДТП. График визуализирует эту обратную корреляцию, демонстрируя рост минимальной плотности дорог при снижении числа ДТП.</t>
  </si>
  <si>
    <t>Вывод: анализ данных показывает неравномерное распределение максимальной плотности автомобильных дорог общего пользования с твердым покрытием в зависимости от количества ДТП с пострадавшими на 100 тыс. единиц автотранспорта в январе-июне 2024 г. Наибольшая плотность (2542,4 км на 1000 км²) наблюдается в диапазоне 51-91 ДТП. Плотность уменьшается с ростом количества ДТП, достигая минимума (22,2 км на 1000 км²) в диапазоне 251-291 ДТП. График иллюстрирует эту закономерность, демонстрируя пиковое значение плотности дорог в диапазоне 51-91 ДТП и последующее её снижение.</t>
  </si>
  <si>
    <t>Диапазон значений плотности автомобильных дорог общего пользования с твердым покрытием, километров дорог на 1000 км² территории</t>
  </si>
  <si>
    <t>Вывод: данные показывают зависимость среднего количества ДТП с пострадавшими на 100 тыс. ед. автотранспорта в январе-июне 2024 года от плотности автомобильных дорог общего пользования с твердым покрытием. Наблюдается тенденция к снижению количества ДТП при увеличении плотности дорог вплоть до уровня 801-1001,3 км на 1000 км², после чего наблюдается незначительное увеличение. Наибольшее количество ДТП (110,39) приходится на среднюю плотность дорог 201,3-401,3 км на 1000 км². Наименьшее количество ДТП (49,2) зафиксировано при плотности 801,3-1001,3 км на 1000 км². Среднее количество ДТП по всем диапазонам плотности составляет 104,68.</t>
  </si>
  <si>
    <t>Вывод: данные показывают корреляцию между минимальным количеством ДТП с пострадавшими на 100 тыс. единиц автотранспорта в январе-июне 2024 г. и плотностью автомобильных дорог общего пользования с твердым покрытием. Наблюдается тенденция к уменьшению минимального количества ДТП с ростом плотности дорог до уровня 1201,3-1401,3 км на 1000 км², после чего наблюдается некоторое увеличение. Наименьшее минимальное количество ДТП (11,1) зафиксировано при максимальной плотности дорог (2401,3-2601,3 км на 1000 км²). Наибольшее минимальное количество ДТП (125,8) наблюдается при плотности 1201,3-1401,3 км на 1000 км².</t>
  </si>
  <si>
    <t xml:space="preserve">Вывод: данные демонстрируют зависимость максимального количества ДТП с пострадавшими на 100 тыс. единиц автотранспорта в январе-июне 2024 г. от плотности автомобильных дорог общего пользования с твердым покрытием. Наблюдается обратная корреляция: с увеличением плотности дорог до уровня 401,3-601,3 км на 1000 км² максимальное число ДТП снижается. В дальнейшем, при плотности выше 601,3 км на 1000 км², наблюдаются колебания максимального количества ДТП. Наибольшее количество ДТП (265,1) зафиксировано при минимальной плотности дорог (1,3-201,3 км на 1000 км²). Наименьшее значение (49,2) наблюдается при плотности 801,3-1001,3 км на 1000 км². </t>
  </si>
  <si>
    <t>Вывод: анализ динамики количества ДТП с пострадавшими на 100 тысяч автомобилей за год показывает значительные колебания. Наблюдается как существенный рост, так и значительное снижение показателя в разные периоды. Абсолютный прирост демонстрирует как положительные, так и отрицательные значения, отражая нестабильность тенденции. Темпы роста и прироста также не демонстрируют устойчивой тенденции</t>
  </si>
  <si>
    <t>Вывод: регрессионный анализ показывает слабую отрицательную корреляцию между плотностью автомобильных дорог общего пользования с твердым покрытием и количеством ДТП с пострадавшими на 100 тыс. единиц автотранспорта в январе-июне 2024 года (R² = 0,0219). Уравнение регрессии y = -1,6214x + 482,3 указывает на незначительное снижение плотности дорог с увеличением числа ДТП. Низкое значение коэффициента детерминации (R²) свидетельствует о том, что модель плохо объясняет вариативность данных, и другие факторы существенно влияют на количество ДТП. Полученные результаты не позволяют сделать однозначный вывод о прямой зависимости между плотностью дорог и числом аварий.</t>
  </si>
  <si>
    <t>Группировочный признак (федеральный округ)</t>
  </si>
  <si>
    <t>Вывод: если искать федеральный округ с наименьшим числом ДТП за период январь-июнь 2024 года, то этим округом является Южный федеральный округ, в нем есть субъект Федерации, в котором число ДТП меньше, чем во всех регионах в том же округе, кроме того, по сравнению с другими федеральными округами, этот округ занимает позицию за период январь-июнь 2024 года. Если же говорить о федеральном округе, который занимает лидирующую позицию по наличию субъекта Федерации с минимальным числом ДТП среди всех городов того же федерального округа, то этим округом является Северо-Западный федеральный округ. Если говорить о федеральном округе, в котором один из субъектов Федерации имеет минимальное среди других регионов этого округа число ДТП, но при этом федеральный округ, к которому отгосится этот регион, имеет последнее место среди остальных федеральных округов - это Северо-Западный федеральный округ.</t>
  </si>
  <si>
    <t>Вывод: если сравнивать средние значения количества ДТП среди регионов в каждом федеральном округе за период январь-июнь 2024 года, то наибольшее среднее значение наблюдается в Сибирском федеральном округе, если говорить о Федеральном округе с минимальным среди всех федеральных округов средним числом ДТП, то им является Уральский федеральный округ.</t>
  </si>
  <si>
    <t>Вывод: федеральный округ, в котором есть регион, который, в отличие от других субъектов Федерации этого округа, по сравнению с ними имеет максимальное число ДТП за период январь-июнь 2024 года, и если сравнивать этот федеральный округ с другими федеральными округами, в которых также имеется информация о субъекте Федерации, в котором совершается максимальное число ДТП, опять же, в сравнении с другими регионами этого округа, то Сибирский федеральный округ занимает лидирующую позицию среди всех остальных федеральных округов. Регион-лидер среди других субъектов Федерации одного федерального округа по числу ДТП, но занимающий последнее место по федеральным округам - Северо-Западный федеральный округ.</t>
  </si>
  <si>
    <t>Вывод: федеральным округом, который занимает лидирующую позицию по среднему значению плотности дорог всех входящих в него субъектов Федерации, является Центральный федеральный округ, а федеральный округ, который имеет наименьшее среднее число плотности дорог среди всех своих регионов - Дальневосточный федеральный округ.</t>
  </si>
  <si>
    <t>Среднее</t>
  </si>
  <si>
    <t>Тпрδ (значение базисного прироста)</t>
  </si>
  <si>
    <t>Тпрц (значение цепного прироста)</t>
  </si>
  <si>
    <t>Тц (значение цепного роста)</t>
  </si>
  <si>
    <t>Тδ (значение базисного роста)</t>
  </si>
  <si>
    <t xml:space="preserve"> Δδ (значение абсолютного базисного прироста)</t>
  </si>
  <si>
    <t>Δц (значение абсолютного цепного прироста)</t>
  </si>
  <si>
    <t>Среднее по полю Количество ДТП с пострадавшими на 100 тыс. ед. автотранспорта</t>
  </si>
  <si>
    <t xml:space="preserve">Минимум по полю Количество ДТП с пострадавшими на 100 тыс. ед. автотранспорта </t>
  </si>
  <si>
    <t xml:space="preserve">Вывод: в результате исследования рядов динамики, можно сделать вывод, что с 2019  года по 2021-й можно заметить снижение показателя среднего числа ДТП, рассчитанного по всех субъектам Федерации; с 2021 года по 2023 год наблюдается небольшой подъем показателя среднего  числа ДТП, рассчитанного по всем регионам, но с 2023 года по 2024-й наблюдается снижение этого показателя, но количество совершенных ДТП так и не вернулось к показателям на 2022 год. Если говорить о том, в каком году в среднем по всем регионам совершалось больше всего ДТП в период с 2018 по 2024 годы, то можно говорить, что в 2019 году был пик по среднему числу совершенных ДТП за год по всем субъектам Федерации. В 2021 году наблюдается минимальное в рассматриваемом временном диапазоне по годам среднее значение совершенных ДТП,  рассчитанного также по всем субъектам Федерации. В целом, график среднего количества ДТП демонстрирует значительное снижение с 313,9 в 2018 году до 104,6 в 2024 году. Это указывает на общую позитивную динамику в области безопасности дорожного движения. Наиболее резкое падение произошло в 2020-2021 годах. </t>
  </si>
  <si>
    <t>Вывод: график минимального количества ДТП также показывает тенденцию к снижению, хотя и менее выраженную, чем для среднего значения. Минимальное количество ДТП снизилось с 69,5 в 2018 году до 11,1 в 2024 году. Это говорит о том, что даже в регионах с наименьшим количеством аварий наблюдается положительная динамика.</t>
  </si>
  <si>
    <t>Вывод: Динамика максимального количества ДТП с трудом прогнозируема . Хотя в 2021 году наблюдается резкое снижение, в последующие годы происходит колебательное движение с относительно высокими значениями. Это говорит о том, что работа по снижению аварийности в регионе среди всех субъектов Федерации с наибольшим числом ДТП требует дополнительных усилий.</t>
  </si>
  <si>
    <t>Общий вывод: снижение количества ДТП неравномерно по годам. Наблюдаются периоды резкого снижения и периоды замедления или незначительного роста. Это может быть связано с различными факторами, такими как экономическая ситуация, изменения в законодательстве и в дорожно-транспортной инфраструктуре, а также сезонными факторами. Данные также свидетельствуют о положительной динамике в снижении количества ДТП с пострадавшими в целом, но требуют дальнейшего анализа для выявления причин колебаний и разработки более эффективных мер по улучшению безопасности дорожного движения, особенно в регионах с высоким уровнем аварийности.</t>
  </si>
  <si>
    <t>t (значение разницы в годах по сравнению с началом 2018 года)</t>
  </si>
  <si>
    <t>Названия строк</t>
  </si>
  <si>
    <t>Количество по полю Количество ДТП с пострадавшими на 100 тыс. ед. автотранспорта в январе-июне 2024 г.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</si>
  <si>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</si>
  <si>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</si>
  <si>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</si>
  <si>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</si>
  <si>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</si>
  <si>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</si>
  <si>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</si>
  <si>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</si>
  <si>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</si>
  <si>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</si>
  <si>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</si>
  <si>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</si>
  <si>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</si>
  <si>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</si>
  <si>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</si>
  <si>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</si>
  <si>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</si>
  <si>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</si>
  <si>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</si>
  <si>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</si>
  <si>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</si>
  <si>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</si>
  <si>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</si>
  <si>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</si>
  <si>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ВЫВОД ОСТАТКА</t>
  </si>
  <si>
    <t>Наблюдение</t>
  </si>
  <si>
    <t>Остатки</t>
  </si>
  <si>
    <t>Стандартные остатки</t>
  </si>
  <si>
    <t>ВЫВОД ВЕРОЯТНОСТИ</t>
  </si>
  <si>
    <t>Персентиль</t>
  </si>
  <si>
    <t>Предсказанное Количество ДТП с пострадавшими на 100 тыс. ед. автотранспорта в январе-июне 2024 г.</t>
  </si>
  <si>
    <t>Межгрупповая дисперсия</t>
  </si>
  <si>
    <t>dсрвн</t>
  </si>
  <si>
    <t>Внутригрупповая дисперсия</t>
  </si>
  <si>
    <t>Среднее по полю Количество ДТП с пострадавшими на 100 тыс. ед. автотранспорта в январе-июне 2024 г.2</t>
  </si>
  <si>
    <t>Смещенная дисперсия по полю Количество ДТП с пострадавшими на 100 тыс. ед. автотранспорта в январе-июне 2024 г.3</t>
  </si>
  <si>
    <t>б^2(межгрупповая дисперсия)</t>
  </si>
  <si>
    <t>Правило сложения дисперсий</t>
  </si>
  <si>
    <t>&lt;1/2 - качественный признак (федеральный округ) не влияет на число ДТП</t>
  </si>
  <si>
    <t>Количество по полю Плотность автомобильных дорог общего пользования с твердым покрытием, километров дорог на 1000 км² территории</t>
  </si>
  <si>
    <t>Среднее по полю Плотность автомобильных дорог общего пользования с твердым покрытием, километров дорог на 1000 км² территории2</t>
  </si>
  <si>
    <t>Смещенная дисперсия по полю Плотность автомобильных дорог общего пользования с твердым покрытием, километров дорог на 1000 км² территории</t>
  </si>
  <si>
    <t>Вывод:</t>
  </si>
  <si>
    <t xml:space="preserve">&lt;1/2 - качественный признак (федеральный округ) не влияет на уровень плотности дорог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</si>
</sst>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sz val="12"/>
      <color rgb="FFFFFFFF"/>
      <name val="Arial"/>
      <family val="2"/>
      <charset val="204"/>
    </font>
    <font>
      <sz val="11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i/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690D38"/>
        <bgColor rgb="FF800000"/>
      </patternFill>
    </fill>
    <fill>
      <patternFill patternType="solid">
        <fgColor rgb="FF40001D"/>
        <bgColor rgb="FF690D38"/>
      </patternFill>
    </fill>
    <fill>
      <patternFill patternType="solid">
        <fgColor rgb="FF0F854B"/>
        <bgColor rgb="FF008080"/>
      </patternFill>
    </fill>
    <fill>
      <patternFill patternType="solid">
        <fgColor rgb="FF004A33"/>
        <bgColor rgb="FF003300"/>
      </patternFill>
    </fill>
    <fill>
      <patternFill patternType="solid">
        <fgColor rgb="FFFFFFFF"/>
        <bgColor rgb="FFEEECE1"/>
      </patternFill>
    </fill>
    <fill>
      <patternFill patternType="solid">
        <fgColor theme="2"/>
        <bgColor rgb="FFD9D9D9"/>
      </patternFill>
    </fill>
    <fill>
      <patternFill patternType="solid">
        <fgColor theme="3" tint="0.79998168889431442"/>
        <bgColor rgb="FF690D38"/>
      </patternFill>
    </fill>
    <fill>
      <patternFill patternType="solid">
        <fgColor theme="3" tint="0.79998168889431442"/>
        <bgColor rgb="FF8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800000"/>
      </patternFill>
    </fill>
    <fill>
      <patternFill patternType="solid">
        <fgColor rgb="FFFFFF00"/>
        <bgColor rgb="FF690D38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85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top" wrapText="1"/>
    </xf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0" borderId="2" xfId="0" applyFont="1" applyBorder="1"/>
    <xf numFmtId="0" fontId="0" fillId="0" borderId="0" xfId="0" applyAlignment="1"/>
    <xf numFmtId="0" fontId="0" fillId="0" borderId="0" xfId="0" applyBorder="1" applyAlignment="1">
      <alignment horizontal="center" vertical="center" wrapText="1"/>
    </xf>
    <xf numFmtId="0" fontId="0" fillId="0" borderId="2" xfId="0" applyFont="1" applyBorder="1" applyAlignment="1"/>
    <xf numFmtId="0" fontId="0" fillId="0" borderId="0" xfId="0" applyAlignment="1">
      <alignment horizontal="left"/>
    </xf>
    <xf numFmtId="0" fontId="0" fillId="7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vertical="top"/>
    </xf>
    <xf numFmtId="0" fontId="0" fillId="0" borderId="4" xfId="0" applyFont="1" applyBorder="1" applyAlignment="1">
      <alignment horizontal="left" indent="1"/>
    </xf>
    <xf numFmtId="0" fontId="0" fillId="0" borderId="2" xfId="0" applyFont="1" applyBorder="1"/>
    <xf numFmtId="0" fontId="7" fillId="0" borderId="5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0" fillId="0" borderId="5" xfId="0" applyFont="1" applyBorder="1" applyAlignment="1">
      <alignment vertical="top"/>
    </xf>
    <xf numFmtId="0" fontId="0" fillId="0" borderId="2" xfId="0" applyFont="1" applyBorder="1" applyAlignment="1">
      <alignment horizontal="left" indent="1"/>
    </xf>
    <xf numFmtId="0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0" fillId="7" borderId="7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readingOrder="1"/>
    </xf>
    <xf numFmtId="0" fontId="0" fillId="0" borderId="0" xfId="0" applyAlignment="1">
      <alignment horizontal="left" vertical="top" wrapText="1"/>
    </xf>
    <xf numFmtId="0" fontId="2" fillId="8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0" fillId="10" borderId="2" xfId="0" applyFill="1" applyBorder="1" applyAlignment="1">
      <alignment wrapText="1"/>
    </xf>
    <xf numFmtId="0" fontId="0" fillId="10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0" fillId="0" borderId="2" xfId="0" applyBorder="1" applyAlignment="1">
      <alignment horizontal="center" vertical="center" wrapText="1"/>
    </xf>
    <xf numFmtId="0" fontId="0" fillId="0" borderId="2" xfId="0" pivotButton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left" vertical="center"/>
    </xf>
    <xf numFmtId="0" fontId="0" fillId="0" borderId="2" xfId="0" applyNumberFormat="1" applyBorder="1" applyAlignment="1">
      <alignment horizontal="center" vertical="center"/>
    </xf>
    <xf numFmtId="0" fontId="12" fillId="0" borderId="2" xfId="0" pivotButton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ill="1" applyAlignment="1"/>
    <xf numFmtId="0" fontId="11" fillId="7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wrapText="1"/>
    </xf>
    <xf numFmtId="0" fontId="11" fillId="0" borderId="2" xfId="0" applyFont="1" applyBorder="1"/>
    <xf numFmtId="0" fontId="11" fillId="0" borderId="2" xfId="0" applyFont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11" fillId="13" borderId="2" xfId="0" applyFont="1" applyFill="1" applyBorder="1" applyAlignment="1">
      <alignment horizontal="center" vertical="center" wrapText="1"/>
    </xf>
    <xf numFmtId="0" fontId="11" fillId="13" borderId="2" xfId="0" applyFont="1" applyFill="1" applyBorder="1"/>
    <xf numFmtId="0" fontId="11" fillId="13" borderId="2" xfId="0" applyFont="1" applyFill="1" applyBorder="1" applyAlignment="1">
      <alignment horizontal="center"/>
    </xf>
    <xf numFmtId="0" fontId="11" fillId="13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wrapText="1"/>
    </xf>
    <xf numFmtId="10" fontId="11" fillId="0" borderId="2" xfId="0" applyNumberFormat="1" applyFont="1" applyBorder="1"/>
    <xf numFmtId="10" fontId="11" fillId="13" borderId="2" xfId="0" applyNumberFormat="1" applyFont="1" applyFill="1" applyBorder="1"/>
    <xf numFmtId="10" fontId="11" fillId="0" borderId="5" xfId="0" applyNumberFormat="1" applyFont="1" applyFill="1" applyBorder="1"/>
    <xf numFmtId="0" fontId="0" fillId="0" borderId="0" xfId="0" applyFill="1" applyBorder="1" applyAlignment="1"/>
    <xf numFmtId="0" fontId="0" fillId="0" borderId="8" xfId="0" applyFill="1" applyBorder="1" applyAlignment="1"/>
    <xf numFmtId="0" fontId="13" fillId="0" borderId="9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Continuous"/>
    </xf>
    <xf numFmtId="0" fontId="11" fillId="13" borderId="2" xfId="0" applyFont="1" applyFill="1" applyBorder="1" applyAlignment="1">
      <alignment horizontal="center" vertical="center" wrapText="1"/>
    </xf>
    <xf numFmtId="0" fontId="0" fillId="10" borderId="5" xfId="0" applyFont="1" applyFill="1" applyBorder="1" applyAlignment="1">
      <alignment vertical="top"/>
    </xf>
    <xf numFmtId="0" fontId="0" fillId="0" borderId="0" xfId="0" pivotButton="1"/>
    <xf numFmtId="0" fontId="0" fillId="0" borderId="0" xfId="0" applyAlignment="1">
      <alignment horizontal="center" vertical="center" wrapText="1"/>
    </xf>
    <xf numFmtId="0" fontId="0" fillId="0" borderId="0" xfId="0" pivotButton="1" applyFont="1" applyAlignment="1">
      <alignment horizontal="center" vertical="center" wrapText="1"/>
    </xf>
    <xf numFmtId="0" fontId="0" fillId="13" borderId="2" xfId="0" applyFill="1" applyBorder="1"/>
    <xf numFmtId="0" fontId="11" fillId="13" borderId="2" xfId="0" applyFont="1" applyFill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13" borderId="10" xfId="0" applyFont="1" applyFill="1" applyBorder="1" applyAlignment="1">
      <alignment horizontal="center" vertical="center" wrapText="1"/>
    </xf>
    <xf numFmtId="0" fontId="11" fillId="13" borderId="11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/>
    </xf>
  </cellXfs>
  <cellStyles count="7">
    <cellStyle name="Заглавие сводной таблицы" xfId="5"/>
    <cellStyle name="Значение сводной таблицы" xfId="2"/>
    <cellStyle name="Категория сводной таблицы" xfId="4"/>
    <cellStyle name="Обычный" xfId="0" builtinId="0"/>
    <cellStyle name="Поле сводной таблицы" xfId="3"/>
    <cellStyle name="Результат сводной таблицы" xfId="6"/>
    <cellStyle name="Угол сводной таблицы" xfId="1"/>
  </cellStyles>
  <dxfs count="289"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79998168889431442"/>
        </patternFill>
      </fill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fill>
        <patternFill patternType="solid">
          <bgColor theme="4" tint="0.79998168889431442"/>
        </patternFill>
      </fill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font>
        <b val="0"/>
      </font>
    </dxf>
    <dxf>
      <font>
        <b val="0"/>
      </font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1D"/>
      <rgbColor rgb="FF008000"/>
      <rgbColor rgb="FF000080"/>
      <rgbColor rgb="FF808000"/>
      <rgbColor rgb="FF800080"/>
      <rgbColor rgb="FF0F854B"/>
      <rgbColor rgb="FFBFBFBF"/>
      <rgbColor rgb="FF4F81BD"/>
      <rgbColor rgb="FF9999FF"/>
      <rgbColor rgb="FF993366"/>
      <rgbColor rgb="FFEEECE1"/>
      <rgbColor rgb="FFCCFFFF"/>
      <rgbColor rgb="FF690D38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4A33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кач. пр. 1, 2!Сводная таблица11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'Груп. по кач. пр. 1, 2'!$B$1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кач. пр. 1, 2'!$A$2:$A$9</c:f>
              <c:strCache>
                <c:ptCount val="7"/>
                <c:pt idx="0">
                  <c:v>Сибирский федеральный округ</c:v>
                </c:pt>
                <c:pt idx="1">
                  <c:v>Центральный федеральный округ</c:v>
                </c:pt>
                <c:pt idx="2">
                  <c:v>Южный федеральный округ</c:v>
                </c:pt>
                <c:pt idx="3">
                  <c:v>Приволжский федеральный округ</c:v>
                </c:pt>
                <c:pt idx="4">
                  <c:v>Дальневосточный федеральный округ</c:v>
                </c:pt>
                <c:pt idx="5">
                  <c:v>Северо-Западный федеральный округ</c:v>
                </c:pt>
                <c:pt idx="6">
                  <c:v>Уральский федеральный округ</c:v>
                </c:pt>
              </c:strCache>
            </c:strRef>
          </c:cat>
          <c:val>
            <c:numRef>
              <c:f>'Груп. по кач. пр. 1, 2'!$B$2:$B$9</c:f>
              <c:numCache>
                <c:formatCode>General</c:formatCode>
                <c:ptCount val="7"/>
                <c:pt idx="0">
                  <c:v>124.26363636363637</c:v>
                </c:pt>
                <c:pt idx="1">
                  <c:v>107.57222222222224</c:v>
                </c:pt>
                <c:pt idx="2">
                  <c:v>104.23333333333332</c:v>
                </c:pt>
                <c:pt idx="3">
                  <c:v>103.94285714285715</c:v>
                </c:pt>
                <c:pt idx="4">
                  <c:v>100.75999999999999</c:v>
                </c:pt>
                <c:pt idx="5">
                  <c:v>96.390909090909091</c:v>
                </c:pt>
                <c:pt idx="6">
                  <c:v>84.7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D7-4469-9DFE-2BE3A804F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109256"/>
        <c:axId val="442110040"/>
      </c:barChart>
      <c:catAx>
        <c:axId val="44210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110040"/>
        <c:crosses val="autoZero"/>
        <c:auto val="1"/>
        <c:lblAlgn val="ctr"/>
        <c:lblOffset val="100"/>
        <c:noMultiLvlLbl val="0"/>
      </c:catAx>
      <c:valAx>
        <c:axId val="44211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109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кач. пр. 1, 2!Сводная таблица12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'Груп. по кач. пр. 1, 2'!$B$31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кач. пр. 1, 2'!$A$32:$A$39</c:f>
              <c:strCache>
                <c:ptCount val="7"/>
                <c:pt idx="0">
                  <c:v>Северо-Западный федеральный округ</c:v>
                </c:pt>
                <c:pt idx="1">
                  <c:v>Приволжский федеральный округ</c:v>
                </c:pt>
                <c:pt idx="2">
                  <c:v>Сибирский федеральный округ</c:v>
                </c:pt>
                <c:pt idx="3">
                  <c:v>Центральный федеральный округ</c:v>
                </c:pt>
                <c:pt idx="4">
                  <c:v>Дальневосточный федеральный округ</c:v>
                </c:pt>
                <c:pt idx="5">
                  <c:v>Уральский федеральный округ</c:v>
                </c:pt>
                <c:pt idx="6">
                  <c:v>Южный федеральный округ</c:v>
                </c:pt>
              </c:strCache>
            </c:strRef>
          </c:cat>
          <c:val>
            <c:numRef>
              <c:f>'Груп. по кач. пр. 1, 2'!$B$32:$B$39</c:f>
              <c:numCache>
                <c:formatCode>General</c:formatCode>
                <c:ptCount val="7"/>
                <c:pt idx="0">
                  <c:v>66.7</c:v>
                </c:pt>
                <c:pt idx="1">
                  <c:v>54.2</c:v>
                </c:pt>
                <c:pt idx="2">
                  <c:v>49.4</c:v>
                </c:pt>
                <c:pt idx="3">
                  <c:v>49.2</c:v>
                </c:pt>
                <c:pt idx="4">
                  <c:v>46.7</c:v>
                </c:pt>
                <c:pt idx="5">
                  <c:v>42.5</c:v>
                </c:pt>
                <c:pt idx="6">
                  <c:v>11.1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F9D-4A52-AAD4-40082A54A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110432"/>
        <c:axId val="442110824"/>
      </c:barChart>
      <c:catAx>
        <c:axId val="44211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110824"/>
        <c:crosses val="autoZero"/>
        <c:auto val="1"/>
        <c:lblAlgn val="ctr"/>
        <c:lblOffset val="100"/>
        <c:noMultiLvlLbl val="0"/>
      </c:catAx>
      <c:valAx>
        <c:axId val="44211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11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кач. пр. 1, 2!Сводная таблица13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'Груп. по кач. пр. 1, 2'!$B$62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кач. пр. 1, 2'!$A$63:$A$70</c:f>
              <c:strCache>
                <c:ptCount val="7"/>
                <c:pt idx="0">
                  <c:v>Сибирский федеральный округ</c:v>
                </c:pt>
                <c:pt idx="1">
                  <c:v>Южный федеральный округ</c:v>
                </c:pt>
                <c:pt idx="2">
                  <c:v>Уральский федеральный округ</c:v>
                </c:pt>
                <c:pt idx="3">
                  <c:v>Центральный федеральный округ</c:v>
                </c:pt>
                <c:pt idx="4">
                  <c:v>Дальневосточный федеральный округ</c:v>
                </c:pt>
                <c:pt idx="5">
                  <c:v>Приволжский федеральный округ</c:v>
                </c:pt>
                <c:pt idx="6">
                  <c:v>Северо-Западный федеральный округ</c:v>
                </c:pt>
              </c:strCache>
            </c:strRef>
          </c:cat>
          <c:val>
            <c:numRef>
              <c:f>'Груп. по кач. пр. 1, 2'!$B$63:$B$70</c:f>
              <c:numCache>
                <c:formatCode>General</c:formatCode>
                <c:ptCount val="7"/>
                <c:pt idx="0">
                  <c:v>265.10000000000002</c:v>
                </c:pt>
                <c:pt idx="1">
                  <c:v>219.4</c:v>
                </c:pt>
                <c:pt idx="2">
                  <c:v>176.8</c:v>
                </c:pt>
                <c:pt idx="3">
                  <c:v>171.2</c:v>
                </c:pt>
                <c:pt idx="4">
                  <c:v>166.8</c:v>
                </c:pt>
                <c:pt idx="5">
                  <c:v>166.4</c:v>
                </c:pt>
                <c:pt idx="6">
                  <c:v>122.9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AE-4766-B474-8585ECC9B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111608"/>
        <c:axId val="442114352"/>
      </c:barChart>
      <c:catAx>
        <c:axId val="442111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114352"/>
        <c:crosses val="autoZero"/>
        <c:auto val="1"/>
        <c:lblAlgn val="ctr"/>
        <c:lblOffset val="100"/>
        <c:noMultiLvlLbl val="0"/>
      </c:catAx>
      <c:valAx>
        <c:axId val="4421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111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кач. пр. 1, 2!Сводная таблица14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'Груп. по кач. пр. 1, 2'!$B$97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кач. пр. 1, 2'!$A$98:$A$105</c:f>
              <c:strCache>
                <c:ptCount val="7"/>
                <c:pt idx="0">
                  <c:v>Центральный федеральный округ</c:v>
                </c:pt>
                <c:pt idx="1">
                  <c:v>Южный федеральный округ</c:v>
                </c:pt>
                <c:pt idx="2">
                  <c:v>Северо-Западный федеральный округ</c:v>
                </c:pt>
                <c:pt idx="3">
                  <c:v>Приволжский федеральный округ</c:v>
                </c:pt>
                <c:pt idx="4">
                  <c:v>Уральский федеральный округ</c:v>
                </c:pt>
                <c:pt idx="5">
                  <c:v>Сибирский федеральный округ</c:v>
                </c:pt>
                <c:pt idx="6">
                  <c:v>Дальневосточный федеральный округ</c:v>
                </c:pt>
              </c:strCache>
            </c:strRef>
          </c:cat>
          <c:val>
            <c:numRef>
              <c:f>'Груп. по кач. пр. 1, 2'!$B$98:$B$105</c:f>
              <c:numCache>
                <c:formatCode>General</c:formatCode>
                <c:ptCount val="7"/>
                <c:pt idx="0">
                  <c:v>518.86666666666667</c:v>
                </c:pt>
                <c:pt idx="1">
                  <c:v>501.84000000000003</c:v>
                </c:pt>
                <c:pt idx="2">
                  <c:v>366.12727272727267</c:v>
                </c:pt>
                <c:pt idx="3">
                  <c:v>277.91428571428571</c:v>
                </c:pt>
                <c:pt idx="4">
                  <c:v>103.96666666666665</c:v>
                </c:pt>
                <c:pt idx="5">
                  <c:v>78.218181818181833</c:v>
                </c:pt>
                <c:pt idx="6">
                  <c:v>29.840000000000003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22F-45E9-AC90-5F969A09F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004352"/>
        <c:axId val="441000432"/>
      </c:barChart>
      <c:catAx>
        <c:axId val="44100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000432"/>
        <c:crosses val="autoZero"/>
        <c:auto val="1"/>
        <c:lblAlgn val="ctr"/>
        <c:lblOffset val="100"/>
        <c:noMultiLvlLbl val="0"/>
      </c:catAx>
      <c:valAx>
        <c:axId val="44100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00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кач. пр. 1, 2!Сводная таблица15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5952523135514566E-2"/>
          <c:y val="0.24939596092155147"/>
          <c:w val="0.77087324887300945"/>
          <c:h val="0.326119860017497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'Груп. по кач. пр. 1, 2'!$B$132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кач. пр. 1, 2'!$A$133:$A$140</c:f>
              <c:strCache>
                <c:ptCount val="7"/>
                <c:pt idx="0">
                  <c:v>Центральный федеральный округ</c:v>
                </c:pt>
                <c:pt idx="1">
                  <c:v>Приволжский федеральный округ</c:v>
                </c:pt>
                <c:pt idx="2">
                  <c:v>Южный федеральный округ</c:v>
                </c:pt>
                <c:pt idx="3">
                  <c:v>Сибирский федеральный округ</c:v>
                </c:pt>
                <c:pt idx="4">
                  <c:v>Уральский федеральный округ</c:v>
                </c:pt>
                <c:pt idx="5">
                  <c:v>Северо-Западный федеральный округ</c:v>
                </c:pt>
                <c:pt idx="6">
                  <c:v>Дальневосточный федеральный округ</c:v>
                </c:pt>
              </c:strCache>
            </c:strRef>
          </c:cat>
          <c:val>
            <c:numRef>
              <c:f>'Груп. по кач. пр. 1, 2'!$B$133:$B$140</c:f>
              <c:numCache>
                <c:formatCode>General</c:formatCode>
                <c:ptCount val="7"/>
                <c:pt idx="0">
                  <c:v>139.30000000000001</c:v>
                </c:pt>
                <c:pt idx="1">
                  <c:v>115.8</c:v>
                </c:pt>
                <c:pt idx="2">
                  <c:v>51.3</c:v>
                </c:pt>
                <c:pt idx="3">
                  <c:v>11.7</c:v>
                </c:pt>
                <c:pt idx="4">
                  <c:v>3.7</c:v>
                </c:pt>
                <c:pt idx="5">
                  <c:v>1.9</c:v>
                </c:pt>
                <c:pt idx="6">
                  <c:v>1.3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80A-4BF9-9E28-8103378F2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005528"/>
        <c:axId val="441002784"/>
      </c:barChart>
      <c:catAx>
        <c:axId val="441005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002784"/>
        <c:crosses val="autoZero"/>
        <c:auto val="1"/>
        <c:lblAlgn val="ctr"/>
        <c:lblOffset val="100"/>
        <c:noMultiLvlLbl val="0"/>
      </c:catAx>
      <c:valAx>
        <c:axId val="44100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005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кач. пр. 1, 2!Сводная таблица16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'Груп. по кач. пр. 1, 2'!$B$156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кач. пр. 1, 2'!$A$157:$A$164</c:f>
              <c:strCache>
                <c:ptCount val="7"/>
                <c:pt idx="0">
                  <c:v>Северо-Западный федеральный округ</c:v>
                </c:pt>
                <c:pt idx="1">
                  <c:v>Центральный федеральный округ</c:v>
                </c:pt>
                <c:pt idx="2">
                  <c:v>Южный федеральный округ</c:v>
                </c:pt>
                <c:pt idx="3">
                  <c:v>Приволжский федеральный округ</c:v>
                </c:pt>
                <c:pt idx="4">
                  <c:v>Уральский федеральный округ</c:v>
                </c:pt>
                <c:pt idx="5">
                  <c:v>Сибирский федеральный округ</c:v>
                </c:pt>
                <c:pt idx="6">
                  <c:v>Дальневосточный федеральный округ</c:v>
                </c:pt>
              </c:strCache>
            </c:strRef>
          </c:cat>
          <c:val>
            <c:numRef>
              <c:f>'Груп. по кач. пр. 1, 2'!$B$157:$B$164</c:f>
              <c:numCache>
                <c:formatCode>General</c:formatCode>
                <c:ptCount val="7"/>
                <c:pt idx="0">
                  <c:v>2542.4</c:v>
                </c:pt>
                <c:pt idx="1">
                  <c:v>2521.6</c:v>
                </c:pt>
                <c:pt idx="2">
                  <c:v>1213.5</c:v>
                </c:pt>
                <c:pt idx="3">
                  <c:v>476</c:v>
                </c:pt>
                <c:pt idx="4">
                  <c:v>248.6</c:v>
                </c:pt>
                <c:pt idx="5">
                  <c:v>199.8</c:v>
                </c:pt>
                <c:pt idx="6">
                  <c:v>93.7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715-4654-854A-77E71ED55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000040"/>
        <c:axId val="441003176"/>
      </c:barChart>
      <c:catAx>
        <c:axId val="44100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003176"/>
        <c:crosses val="autoZero"/>
        <c:auto val="1"/>
        <c:lblAlgn val="ctr"/>
        <c:lblOffset val="100"/>
        <c:noMultiLvlLbl val="0"/>
      </c:catAx>
      <c:valAx>
        <c:axId val="44100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000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кач. пр. 1, 2!Сводная таблица17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'Груп. по кач. пр. 1, 2'!$B$188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кач. пр. 1, 2'!$A$189:$A$196</c:f>
              <c:strCache>
                <c:ptCount val="7"/>
                <c:pt idx="0">
                  <c:v>Сибирский федеральный округ</c:v>
                </c:pt>
                <c:pt idx="1">
                  <c:v>Центральный федеральный округ</c:v>
                </c:pt>
                <c:pt idx="2">
                  <c:v>Южный федеральный округ</c:v>
                </c:pt>
                <c:pt idx="3">
                  <c:v>Приволжский федеральный округ</c:v>
                </c:pt>
                <c:pt idx="4">
                  <c:v>Дальневосточный федеральный округ</c:v>
                </c:pt>
                <c:pt idx="5">
                  <c:v>Северо-Западный федеральный округ</c:v>
                </c:pt>
                <c:pt idx="6">
                  <c:v>Уральский федеральный округ</c:v>
                </c:pt>
              </c:strCache>
            </c:strRef>
          </c:cat>
          <c:val>
            <c:numRef>
              <c:f>'Груп. по кач. пр. 1, 2'!$B$189:$B$196</c:f>
              <c:numCache>
                <c:formatCode>General</c:formatCode>
                <c:ptCount val="7"/>
                <c:pt idx="0">
                  <c:v>124.26363636363637</c:v>
                </c:pt>
                <c:pt idx="1">
                  <c:v>107.57222222222224</c:v>
                </c:pt>
                <c:pt idx="2">
                  <c:v>104.23333333333332</c:v>
                </c:pt>
                <c:pt idx="3">
                  <c:v>103.94285714285715</c:v>
                </c:pt>
                <c:pt idx="4">
                  <c:v>100.75999999999999</c:v>
                </c:pt>
                <c:pt idx="5">
                  <c:v>96.390909090909091</c:v>
                </c:pt>
                <c:pt idx="6">
                  <c:v>84.7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81AF-495C-96CB-106E19673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1001216"/>
        <c:axId val="441004744"/>
      </c:barChart>
      <c:catAx>
        <c:axId val="44100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004744"/>
        <c:crosses val="autoZero"/>
        <c:auto val="1"/>
        <c:lblAlgn val="ctr"/>
        <c:lblOffset val="100"/>
        <c:noMultiLvlLbl val="0"/>
      </c:catAx>
      <c:valAx>
        <c:axId val="441004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00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кач. пр. 1, 2!Сводная таблица19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'Груп. по кач. пр. 1, 2'!$B$213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кач. пр. 1, 2'!$A$214:$A$221</c:f>
              <c:strCache>
                <c:ptCount val="7"/>
                <c:pt idx="0">
                  <c:v>Северо-Западный федеральный округ</c:v>
                </c:pt>
                <c:pt idx="1">
                  <c:v>Приволжский федеральный округ</c:v>
                </c:pt>
                <c:pt idx="2">
                  <c:v>Сибирский федеральный округ</c:v>
                </c:pt>
                <c:pt idx="3">
                  <c:v>Центральный федеральный округ</c:v>
                </c:pt>
                <c:pt idx="4">
                  <c:v>Дальневосточный федеральный округ</c:v>
                </c:pt>
                <c:pt idx="5">
                  <c:v>Уральский федеральный округ</c:v>
                </c:pt>
                <c:pt idx="6">
                  <c:v>Южный федеральный округ</c:v>
                </c:pt>
              </c:strCache>
            </c:strRef>
          </c:cat>
          <c:val>
            <c:numRef>
              <c:f>'Груп. по кач. пр. 1, 2'!$B$214:$B$221</c:f>
              <c:numCache>
                <c:formatCode>General</c:formatCode>
                <c:ptCount val="7"/>
                <c:pt idx="0">
                  <c:v>66.7</c:v>
                </c:pt>
                <c:pt idx="1">
                  <c:v>54.2</c:v>
                </c:pt>
                <c:pt idx="2">
                  <c:v>49.4</c:v>
                </c:pt>
                <c:pt idx="3">
                  <c:v>49.2</c:v>
                </c:pt>
                <c:pt idx="4">
                  <c:v>46.7</c:v>
                </c:pt>
                <c:pt idx="5">
                  <c:v>42.5</c:v>
                </c:pt>
                <c:pt idx="6">
                  <c:v>11.1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0F-4C81-87D0-AC02E59C9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0999256"/>
        <c:axId val="441002000"/>
      </c:barChart>
      <c:catAx>
        <c:axId val="440999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002000"/>
        <c:crosses val="autoZero"/>
        <c:auto val="1"/>
        <c:lblAlgn val="ctr"/>
        <c:lblOffset val="100"/>
        <c:noMultiLvlLbl val="0"/>
      </c:catAx>
      <c:valAx>
        <c:axId val="44100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999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кач. пр. 1, 2!Сводная таблица20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56584948445516736"/>
          <c:y val="0.22905667457466949"/>
          <c:w val="0.34539626910365329"/>
          <c:h val="0.683079097066475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'Груп. по кач. пр. 1, 2'!$B$253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кач. пр. 1, 2'!$A$254:$A$261</c:f>
              <c:strCache>
                <c:ptCount val="7"/>
                <c:pt idx="0">
                  <c:v>Сибирский федеральный округ</c:v>
                </c:pt>
                <c:pt idx="1">
                  <c:v>Южный федеральный округ</c:v>
                </c:pt>
                <c:pt idx="2">
                  <c:v>Уральский федеральный округ</c:v>
                </c:pt>
                <c:pt idx="3">
                  <c:v>Центральный федеральный округ</c:v>
                </c:pt>
                <c:pt idx="4">
                  <c:v>Дальневосточный федеральный округ</c:v>
                </c:pt>
                <c:pt idx="5">
                  <c:v>Приволжский федеральный округ</c:v>
                </c:pt>
                <c:pt idx="6">
                  <c:v>Северо-Западный федеральный округ</c:v>
                </c:pt>
              </c:strCache>
            </c:strRef>
          </c:cat>
          <c:val>
            <c:numRef>
              <c:f>'Груп. по кач. пр. 1, 2'!$B$254:$B$261</c:f>
              <c:numCache>
                <c:formatCode>General</c:formatCode>
                <c:ptCount val="7"/>
                <c:pt idx="0">
                  <c:v>265.10000000000002</c:v>
                </c:pt>
                <c:pt idx="1">
                  <c:v>219.4</c:v>
                </c:pt>
                <c:pt idx="2">
                  <c:v>176.8</c:v>
                </c:pt>
                <c:pt idx="3">
                  <c:v>171.2</c:v>
                </c:pt>
                <c:pt idx="4">
                  <c:v>166.8</c:v>
                </c:pt>
                <c:pt idx="5">
                  <c:v>166.4</c:v>
                </c:pt>
                <c:pt idx="6">
                  <c:v>122.9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536-49F3-B375-62403B274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2107688"/>
        <c:axId val="442108080"/>
      </c:barChart>
      <c:catAx>
        <c:axId val="442107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108080"/>
        <c:crosses val="autoZero"/>
        <c:auto val="1"/>
        <c:lblAlgn val="ctr"/>
        <c:lblOffset val="100"/>
        <c:noMultiLvlLbl val="0"/>
      </c:catAx>
      <c:valAx>
        <c:axId val="44210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107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кач. пр. 1, 2!Сводная таблица21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'Груп. по кач. пр. 1, 2'!$B$287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кач. пр. 1, 2'!$A$288:$A$295</c:f>
              <c:strCache>
                <c:ptCount val="7"/>
                <c:pt idx="0">
                  <c:v>Центральный федеральный округ</c:v>
                </c:pt>
                <c:pt idx="1">
                  <c:v>Южный федеральный округ</c:v>
                </c:pt>
                <c:pt idx="2">
                  <c:v>Северо-Западный федеральный округ</c:v>
                </c:pt>
                <c:pt idx="3">
                  <c:v>Приволжский федеральный округ</c:v>
                </c:pt>
                <c:pt idx="4">
                  <c:v>Уральский федеральный округ</c:v>
                </c:pt>
                <c:pt idx="5">
                  <c:v>Сибирский федеральный округ</c:v>
                </c:pt>
                <c:pt idx="6">
                  <c:v>Дальневосточный федеральный округ</c:v>
                </c:pt>
              </c:strCache>
            </c:strRef>
          </c:cat>
          <c:val>
            <c:numRef>
              <c:f>'Груп. по кач. пр. 1, 2'!$B$288:$B$295</c:f>
              <c:numCache>
                <c:formatCode>General</c:formatCode>
                <c:ptCount val="7"/>
                <c:pt idx="0">
                  <c:v>518.86666666666667</c:v>
                </c:pt>
                <c:pt idx="1">
                  <c:v>501.84000000000003</c:v>
                </c:pt>
                <c:pt idx="2">
                  <c:v>366.12727272727267</c:v>
                </c:pt>
                <c:pt idx="3">
                  <c:v>277.91428571428571</c:v>
                </c:pt>
                <c:pt idx="4">
                  <c:v>103.96666666666665</c:v>
                </c:pt>
                <c:pt idx="5">
                  <c:v>78.218181818181833</c:v>
                </c:pt>
                <c:pt idx="6">
                  <c:v>29.840000000000003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755-49CD-AAD4-0F6D4BD6E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59000"/>
        <c:axId val="539562136"/>
      </c:barChart>
      <c:catAx>
        <c:axId val="539559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562136"/>
        <c:crosses val="autoZero"/>
        <c:auto val="1"/>
        <c:lblAlgn val="ctr"/>
        <c:lblOffset val="100"/>
        <c:noMultiLvlLbl val="0"/>
      </c:catAx>
      <c:valAx>
        <c:axId val="539562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559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кач. пр. 1, 2!Сводная таблица22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'Груп. по кач. пр. 1, 2'!$B$320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кач. пр. 1, 2'!$A$321:$A$328</c:f>
              <c:strCache>
                <c:ptCount val="7"/>
                <c:pt idx="0">
                  <c:v>Центральный федеральный округ</c:v>
                </c:pt>
                <c:pt idx="1">
                  <c:v>Приволжский федеральный округ</c:v>
                </c:pt>
                <c:pt idx="2">
                  <c:v>Южный федеральный округ</c:v>
                </c:pt>
                <c:pt idx="3">
                  <c:v>Сибирский федеральный округ</c:v>
                </c:pt>
                <c:pt idx="4">
                  <c:v>Уральский федеральный округ</c:v>
                </c:pt>
                <c:pt idx="5">
                  <c:v>Северо-Западный федеральный округ</c:v>
                </c:pt>
                <c:pt idx="6">
                  <c:v>Дальневосточный федеральный округ</c:v>
                </c:pt>
              </c:strCache>
            </c:strRef>
          </c:cat>
          <c:val>
            <c:numRef>
              <c:f>'Груп. по кач. пр. 1, 2'!$B$321:$B$328</c:f>
              <c:numCache>
                <c:formatCode>General</c:formatCode>
                <c:ptCount val="7"/>
                <c:pt idx="0">
                  <c:v>139.30000000000001</c:v>
                </c:pt>
                <c:pt idx="1">
                  <c:v>115.8</c:v>
                </c:pt>
                <c:pt idx="2">
                  <c:v>51.3</c:v>
                </c:pt>
                <c:pt idx="3">
                  <c:v>11.7</c:v>
                </c:pt>
                <c:pt idx="4">
                  <c:v>3.7</c:v>
                </c:pt>
                <c:pt idx="5">
                  <c:v>1.9</c:v>
                </c:pt>
                <c:pt idx="6">
                  <c:v>1.3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A1D-44DD-B673-36B8C0573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60960"/>
        <c:axId val="539563704"/>
      </c:barChart>
      <c:catAx>
        <c:axId val="53956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563704"/>
        <c:crosses val="autoZero"/>
        <c:auto val="1"/>
        <c:lblAlgn val="ctr"/>
        <c:lblOffset val="100"/>
        <c:noMultiLvlLbl val="0"/>
      </c:catAx>
      <c:valAx>
        <c:axId val="539563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56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кач. пр. 1, 2!Сводная таблица23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3536444318260805"/>
          <c:y val="0.1584845972292156"/>
          <c:w val="0.73538579948359628"/>
          <c:h val="0.450250414302241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'Груп. по кач. пр. 1, 2'!$B$366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кач. пр. 1, 2'!$A$367:$A$374</c:f>
              <c:strCache>
                <c:ptCount val="7"/>
                <c:pt idx="0">
                  <c:v>Северо-Западный федеральный округ</c:v>
                </c:pt>
                <c:pt idx="1">
                  <c:v>Центральный федеральный округ</c:v>
                </c:pt>
                <c:pt idx="2">
                  <c:v>Южный федеральный округ</c:v>
                </c:pt>
                <c:pt idx="3">
                  <c:v>Приволжский федеральный округ</c:v>
                </c:pt>
                <c:pt idx="4">
                  <c:v>Уральский федеральный округ</c:v>
                </c:pt>
                <c:pt idx="5">
                  <c:v>Сибирский федеральный округ</c:v>
                </c:pt>
                <c:pt idx="6">
                  <c:v>Дальневосточный федеральный округ</c:v>
                </c:pt>
              </c:strCache>
            </c:strRef>
          </c:cat>
          <c:val>
            <c:numRef>
              <c:f>'Груп. по кач. пр. 1, 2'!$B$367:$B$374</c:f>
              <c:numCache>
                <c:formatCode>General</c:formatCode>
                <c:ptCount val="7"/>
                <c:pt idx="0">
                  <c:v>2542.4</c:v>
                </c:pt>
                <c:pt idx="1">
                  <c:v>2521.6</c:v>
                </c:pt>
                <c:pt idx="2">
                  <c:v>1213.5</c:v>
                </c:pt>
                <c:pt idx="3">
                  <c:v>476</c:v>
                </c:pt>
                <c:pt idx="4">
                  <c:v>248.6</c:v>
                </c:pt>
                <c:pt idx="5">
                  <c:v>199.8</c:v>
                </c:pt>
                <c:pt idx="6">
                  <c:v>93.7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92-46D5-8F35-09D73B24B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59784"/>
        <c:axId val="539561352"/>
      </c:barChart>
      <c:catAx>
        <c:axId val="539559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561352"/>
        <c:crosses val="autoZero"/>
        <c:auto val="1"/>
        <c:lblAlgn val="ctr"/>
        <c:lblOffset val="100"/>
        <c:noMultiLvlLbl val="0"/>
      </c:catAx>
      <c:valAx>
        <c:axId val="539561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559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кол. пр. 1, 2!Сводная таблица7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'Груп. по кол. пр. 1, 2'!$B$35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кол. пр. 1, 2'!$A$36:$A$43</c:f>
              <c:strCache>
                <c:ptCount val="7"/>
                <c:pt idx="0">
                  <c:v>11,1-51,1</c:v>
                </c:pt>
                <c:pt idx="1">
                  <c:v>51,1-91,1</c:v>
                </c:pt>
                <c:pt idx="2">
                  <c:v>91,1-131,1</c:v>
                </c:pt>
                <c:pt idx="3">
                  <c:v>131,1-171,1</c:v>
                </c:pt>
                <c:pt idx="4">
                  <c:v>171,1-211,1</c:v>
                </c:pt>
                <c:pt idx="5">
                  <c:v>211,1-251,1</c:v>
                </c:pt>
                <c:pt idx="6">
                  <c:v>251,1-291,1</c:v>
                </c:pt>
              </c:strCache>
            </c:strRef>
          </c:cat>
          <c:val>
            <c:numRef>
              <c:f>'Груп. по кол. пр. 1, 2'!$B$36:$B$43</c:f>
              <c:numCache>
                <c:formatCode>General</c:formatCode>
                <c:ptCount val="7"/>
                <c:pt idx="0">
                  <c:v>1.3</c:v>
                </c:pt>
                <c:pt idx="1">
                  <c:v>1.9</c:v>
                </c:pt>
                <c:pt idx="2">
                  <c:v>4.0999999999999996</c:v>
                </c:pt>
                <c:pt idx="3">
                  <c:v>37.200000000000003</c:v>
                </c:pt>
                <c:pt idx="4">
                  <c:v>93.2</c:v>
                </c:pt>
                <c:pt idx="5">
                  <c:v>51.3</c:v>
                </c:pt>
                <c:pt idx="6">
                  <c:v>22.2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C80-4588-B5B3-033F88309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562528"/>
        <c:axId val="539556256"/>
      </c:barChart>
      <c:catAx>
        <c:axId val="53956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556256"/>
        <c:crosses val="autoZero"/>
        <c:auto val="1"/>
        <c:lblAlgn val="ctr"/>
        <c:lblOffset val="100"/>
        <c:noMultiLvlLbl val="0"/>
      </c:catAx>
      <c:valAx>
        <c:axId val="53955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56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кол. пр. 1, 2!Сводная таблица8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'Груп. по кол. пр. 1, 2'!$B$1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кол. пр. 1, 2'!$A$2:$A$9</c:f>
              <c:strCache>
                <c:ptCount val="7"/>
                <c:pt idx="0">
                  <c:v>11,1-51,1</c:v>
                </c:pt>
                <c:pt idx="1">
                  <c:v>51,1-91,1</c:v>
                </c:pt>
                <c:pt idx="2">
                  <c:v>91,1-131,1</c:v>
                </c:pt>
                <c:pt idx="3">
                  <c:v>131,1-171,1</c:v>
                </c:pt>
                <c:pt idx="4">
                  <c:v>171,1-211,1</c:v>
                </c:pt>
                <c:pt idx="5">
                  <c:v>211,1-251,1</c:v>
                </c:pt>
                <c:pt idx="6">
                  <c:v>251,1-291,1</c:v>
                </c:pt>
              </c:strCache>
            </c:strRef>
          </c:cat>
          <c:val>
            <c:numRef>
              <c:f>'Груп. по кол. пр. 1, 2'!$B$2:$B$9</c:f>
              <c:numCache>
                <c:formatCode>General</c:formatCode>
                <c:ptCount val="7"/>
                <c:pt idx="0">
                  <c:v>306.21999999999997</c:v>
                </c:pt>
                <c:pt idx="1">
                  <c:v>422.22222222222211</c:v>
                </c:pt>
                <c:pt idx="2">
                  <c:v>278.11250000000007</c:v>
                </c:pt>
                <c:pt idx="3">
                  <c:v>263.27500000000003</c:v>
                </c:pt>
                <c:pt idx="4">
                  <c:v>110.90000000000002</c:v>
                </c:pt>
                <c:pt idx="5">
                  <c:v>51.3</c:v>
                </c:pt>
                <c:pt idx="6">
                  <c:v>22.2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75-4499-84A9-9FF7B0419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562920"/>
        <c:axId val="539557824"/>
      </c:barChart>
      <c:catAx>
        <c:axId val="539562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557824"/>
        <c:crosses val="autoZero"/>
        <c:auto val="1"/>
        <c:lblAlgn val="ctr"/>
        <c:lblOffset val="100"/>
        <c:noMultiLvlLbl val="0"/>
      </c:catAx>
      <c:valAx>
        <c:axId val="53955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562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кол. пр. 1, 2!Сводная таблица9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'Груп. по кол. пр. 1, 2'!$B$62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кол. пр. 1, 2'!$A$63:$A$70</c:f>
              <c:strCache>
                <c:ptCount val="7"/>
                <c:pt idx="0">
                  <c:v>11,1-51,1</c:v>
                </c:pt>
                <c:pt idx="1">
                  <c:v>51,1-91,1</c:v>
                </c:pt>
                <c:pt idx="2">
                  <c:v>91,1-131,1</c:v>
                </c:pt>
                <c:pt idx="3">
                  <c:v>131,1-171,1</c:v>
                </c:pt>
                <c:pt idx="4">
                  <c:v>171,1-211,1</c:v>
                </c:pt>
                <c:pt idx="5">
                  <c:v>211,1-251,1</c:v>
                </c:pt>
                <c:pt idx="6">
                  <c:v>251,1-291,1</c:v>
                </c:pt>
              </c:strCache>
            </c:strRef>
          </c:cat>
          <c:val>
            <c:numRef>
              <c:f>'Груп. по кол. пр. 1, 2'!$B$63:$B$70</c:f>
              <c:numCache>
                <c:formatCode>General</c:formatCode>
                <c:ptCount val="7"/>
                <c:pt idx="0">
                  <c:v>848.8</c:v>
                </c:pt>
                <c:pt idx="1">
                  <c:v>2542.4</c:v>
                </c:pt>
                <c:pt idx="2">
                  <c:v>1213.5</c:v>
                </c:pt>
                <c:pt idx="3">
                  <c:v>716.9</c:v>
                </c:pt>
                <c:pt idx="4">
                  <c:v>139.30000000000001</c:v>
                </c:pt>
                <c:pt idx="5">
                  <c:v>51.3</c:v>
                </c:pt>
                <c:pt idx="6">
                  <c:v>22.2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B25-4C8A-8D49-D05684499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299200"/>
        <c:axId val="539303120"/>
      </c:barChart>
      <c:catAx>
        <c:axId val="53929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303120"/>
        <c:crosses val="autoZero"/>
        <c:auto val="1"/>
        <c:lblAlgn val="ctr"/>
        <c:lblOffset val="100"/>
        <c:noMultiLvlLbl val="0"/>
      </c:catAx>
      <c:valAx>
        <c:axId val="53930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29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кол. пр. 1, 2!Сводная таблица10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'Груп. по кол. пр. 1, 2'!$B$96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кол. пр. 1, 2'!$A$97:$A$105</c:f>
              <c:strCache>
                <c:ptCount val="8"/>
                <c:pt idx="0">
                  <c:v>1,3-201,3</c:v>
                </c:pt>
                <c:pt idx="1">
                  <c:v>201,3-401,3</c:v>
                </c:pt>
                <c:pt idx="2">
                  <c:v>401,3-601,3</c:v>
                </c:pt>
                <c:pt idx="3">
                  <c:v>601,3-801,3</c:v>
                </c:pt>
                <c:pt idx="4">
                  <c:v>801,3-1001,3</c:v>
                </c:pt>
                <c:pt idx="5">
                  <c:v>1001,3-1201,3</c:v>
                </c:pt>
                <c:pt idx="6">
                  <c:v>1201,3-1401,3</c:v>
                </c:pt>
                <c:pt idx="7">
                  <c:v>2401,3-2601,3</c:v>
                </c:pt>
              </c:strCache>
            </c:strRef>
          </c:cat>
          <c:val>
            <c:numRef>
              <c:f>'Груп. по кол. пр. 1, 2'!$B$97:$B$105</c:f>
              <c:numCache>
                <c:formatCode>General</c:formatCode>
                <c:ptCount val="8"/>
                <c:pt idx="0">
                  <c:v>108.54146341463417</c:v>
                </c:pt>
                <c:pt idx="1">
                  <c:v>110.39166666666669</c:v>
                </c:pt>
                <c:pt idx="2">
                  <c:v>96.890909090909091</c:v>
                </c:pt>
                <c:pt idx="3">
                  <c:v>79.975000000000009</c:v>
                </c:pt>
                <c:pt idx="4">
                  <c:v>49.2</c:v>
                </c:pt>
                <c:pt idx="5">
                  <c:v>65.599999999999994</c:v>
                </c:pt>
                <c:pt idx="6">
                  <c:v>125.8</c:v>
                </c:pt>
                <c:pt idx="7">
                  <c:v>86.05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50B-4DF3-983C-608B2E585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304688"/>
        <c:axId val="539301552"/>
      </c:barChart>
      <c:catAx>
        <c:axId val="53930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301552"/>
        <c:crosses val="autoZero"/>
        <c:auto val="1"/>
        <c:lblAlgn val="ctr"/>
        <c:lblOffset val="100"/>
        <c:noMultiLvlLbl val="0"/>
      </c:catAx>
      <c:valAx>
        <c:axId val="53930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30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кол. пр. 1, 2!Сводная таблица11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'Груп. по кол. пр. 1, 2'!$B$125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кол. пр. 1, 2'!$A$126:$A$134</c:f>
              <c:strCache>
                <c:ptCount val="8"/>
                <c:pt idx="0">
                  <c:v>1,3-201,3</c:v>
                </c:pt>
                <c:pt idx="1">
                  <c:v>201,3-401,3</c:v>
                </c:pt>
                <c:pt idx="2">
                  <c:v>401,3-601,3</c:v>
                </c:pt>
                <c:pt idx="3">
                  <c:v>601,3-801,3</c:v>
                </c:pt>
                <c:pt idx="4">
                  <c:v>801,3-1001,3</c:v>
                </c:pt>
                <c:pt idx="5">
                  <c:v>1001,3-1201,3</c:v>
                </c:pt>
                <c:pt idx="6">
                  <c:v>1201,3-1401,3</c:v>
                </c:pt>
                <c:pt idx="7">
                  <c:v>2401,3-2601,3</c:v>
                </c:pt>
              </c:strCache>
            </c:strRef>
          </c:cat>
          <c:val>
            <c:numRef>
              <c:f>'Груп. по кол. пр. 1, 2'!$B$126:$B$134</c:f>
              <c:numCache>
                <c:formatCode>General</c:formatCode>
                <c:ptCount val="8"/>
                <c:pt idx="0">
                  <c:v>42.5</c:v>
                </c:pt>
                <c:pt idx="1">
                  <c:v>65.5</c:v>
                </c:pt>
                <c:pt idx="2">
                  <c:v>77</c:v>
                </c:pt>
                <c:pt idx="3">
                  <c:v>11.1</c:v>
                </c:pt>
                <c:pt idx="4">
                  <c:v>49.2</c:v>
                </c:pt>
                <c:pt idx="5">
                  <c:v>65.599999999999994</c:v>
                </c:pt>
                <c:pt idx="6">
                  <c:v>125.8</c:v>
                </c:pt>
                <c:pt idx="7">
                  <c:v>82.5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1B2-4DB5-9B21-2E917E5A3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301160"/>
        <c:axId val="539298024"/>
      </c:barChart>
      <c:catAx>
        <c:axId val="53930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298024"/>
        <c:crosses val="autoZero"/>
        <c:auto val="1"/>
        <c:lblAlgn val="ctr"/>
        <c:lblOffset val="100"/>
        <c:noMultiLvlLbl val="0"/>
      </c:catAx>
      <c:valAx>
        <c:axId val="53929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301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[последнийКУрсовая По СТактуально (Автосохраненный).xlsx]Груп. по кол. пр. 1, 2!Сводная таблица12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'Груп. по кол. пр. 1, 2'!$B$155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'Груп. по кол. пр. 1, 2'!$A$156:$A$164</c:f>
              <c:strCache>
                <c:ptCount val="8"/>
                <c:pt idx="0">
                  <c:v>1,3-201,3</c:v>
                </c:pt>
                <c:pt idx="1">
                  <c:v>201,3-401,3</c:v>
                </c:pt>
                <c:pt idx="2">
                  <c:v>401,3-601,3</c:v>
                </c:pt>
                <c:pt idx="3">
                  <c:v>601,3-801,3</c:v>
                </c:pt>
                <c:pt idx="4">
                  <c:v>801,3-1001,3</c:v>
                </c:pt>
                <c:pt idx="5">
                  <c:v>1001,3-1201,3</c:v>
                </c:pt>
                <c:pt idx="6">
                  <c:v>1201,3-1401,3</c:v>
                </c:pt>
                <c:pt idx="7">
                  <c:v>2401,3-2601,3</c:v>
                </c:pt>
              </c:strCache>
            </c:strRef>
          </c:cat>
          <c:val>
            <c:numRef>
              <c:f>'Груп. по кол. пр. 1, 2'!$B$156:$B$164</c:f>
              <c:numCache>
                <c:formatCode>General</c:formatCode>
                <c:ptCount val="8"/>
                <c:pt idx="0">
                  <c:v>265.10000000000002</c:v>
                </c:pt>
                <c:pt idx="1">
                  <c:v>160.4</c:v>
                </c:pt>
                <c:pt idx="2">
                  <c:v>124.1</c:v>
                </c:pt>
                <c:pt idx="3">
                  <c:v>131.5</c:v>
                </c:pt>
                <c:pt idx="4">
                  <c:v>49.2</c:v>
                </c:pt>
                <c:pt idx="5">
                  <c:v>65.599999999999994</c:v>
                </c:pt>
                <c:pt idx="6">
                  <c:v>125.8</c:v>
                </c:pt>
                <c:pt idx="7">
                  <c:v>89.6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57F-4B48-B263-A023C38DE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299592"/>
        <c:axId val="539301944"/>
      </c:barChart>
      <c:catAx>
        <c:axId val="539299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301944"/>
        <c:crosses val="autoZero"/>
        <c:auto val="1"/>
        <c:lblAlgn val="ctr"/>
        <c:lblOffset val="100"/>
        <c:noMultiLvlLbl val="0"/>
      </c:catAx>
      <c:valAx>
        <c:axId val="53930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299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РядДинамики!$C$1</c:f>
              <c:strCache>
                <c:ptCount val="1"/>
                <c:pt idx="0">
                  <c:v>Среднее по полю Количество ДТП с пострадавшими на 100 тыс. ед. автотранспорта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РядДинамики!$A$2:$A$8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РядДинамики!$C$2:$C$8</c:f>
              <c:numCache>
                <c:formatCode>General</c:formatCode>
                <c:ptCount val="7"/>
                <c:pt idx="0">
                  <c:v>313.96844705882359</c:v>
                </c:pt>
                <c:pt idx="1">
                  <c:v>322.16470588235296</c:v>
                </c:pt>
                <c:pt idx="2">
                  <c:v>213.16470588235293</c:v>
                </c:pt>
                <c:pt idx="3">
                  <c:v>94.682164705882386</c:v>
                </c:pt>
                <c:pt idx="4">
                  <c:v>100.82470588235293</c:v>
                </c:pt>
                <c:pt idx="5">
                  <c:v>106.62470588235297</c:v>
                </c:pt>
                <c:pt idx="6">
                  <c:v>104.68235294117649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F7-40EE-83EF-23308D788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298808"/>
        <c:axId val="539300376"/>
      </c:lineChart>
      <c:catAx>
        <c:axId val="53929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300376"/>
        <c:crosses val="autoZero"/>
        <c:auto val="1"/>
        <c:lblAlgn val="ctr"/>
        <c:lblOffset val="100"/>
        <c:noMultiLvlLbl val="0"/>
      </c:catAx>
      <c:valAx>
        <c:axId val="53930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298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РядДинамики!$D$1</c:f>
              <c:strCache>
                <c:ptCount val="1"/>
                <c:pt idx="0">
                  <c:v>Минимум по полю Количество ДТП с пострадавшими на 100 тыс. ед. автотранспорта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РядДинамики!$A$2:$A$8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РядДинамики!$D$2:$D$8</c:f>
              <c:numCache>
                <c:formatCode>General</c:formatCode>
                <c:ptCount val="7"/>
                <c:pt idx="0">
                  <c:v>69.5</c:v>
                </c:pt>
                <c:pt idx="1">
                  <c:v>76</c:v>
                </c:pt>
                <c:pt idx="2">
                  <c:v>44</c:v>
                </c:pt>
                <c:pt idx="3">
                  <c:v>9.0167999999999999</c:v>
                </c:pt>
                <c:pt idx="4">
                  <c:v>15.6</c:v>
                </c:pt>
                <c:pt idx="5">
                  <c:v>13.8</c:v>
                </c:pt>
                <c:pt idx="6">
                  <c:v>11.1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E19-4958-A675-2E74C07E7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302728"/>
        <c:axId val="440936632"/>
      </c:lineChart>
      <c:catAx>
        <c:axId val="53930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936632"/>
        <c:crosses val="autoZero"/>
        <c:auto val="1"/>
        <c:lblAlgn val="ctr"/>
        <c:lblOffset val="100"/>
        <c:noMultiLvlLbl val="0"/>
      </c:catAx>
      <c:valAx>
        <c:axId val="440936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302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РядДинамики!$E$1</c:f>
              <c:strCache>
                <c:ptCount val="1"/>
                <c:pt idx="0">
                  <c:v>Максимум по полю Количество ДТП с пострадавшими на 100 тыс. ед. автотранспорта в январе-июне 2024 г.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РядДинамики!$A$2:$A$8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РядДинамики!$E$2:$E$8</c:f>
              <c:numCache>
                <c:formatCode>General</c:formatCode>
                <c:ptCount val="7"/>
                <c:pt idx="0">
                  <c:v>799.65599999999995</c:v>
                </c:pt>
                <c:pt idx="1">
                  <c:v>858</c:v>
                </c:pt>
                <c:pt idx="2">
                  <c:v>632</c:v>
                </c:pt>
                <c:pt idx="3">
                  <c:v>212.16</c:v>
                </c:pt>
                <c:pt idx="4">
                  <c:v>240</c:v>
                </c:pt>
                <c:pt idx="5">
                  <c:v>315.60000000000002</c:v>
                </c:pt>
                <c:pt idx="6">
                  <c:v>265.10000000000002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340-4E0C-872B-81BD0CCE1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937024"/>
        <c:axId val="440935064"/>
      </c:lineChart>
      <c:catAx>
        <c:axId val="4409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935064"/>
        <c:crosses val="autoZero"/>
        <c:auto val="1"/>
        <c:lblAlgn val="ctr"/>
        <c:lblOffset val="100"/>
        <c:noMultiLvlLbl val="0"/>
      </c:catAx>
      <c:valAx>
        <c:axId val="440935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9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Плотность автомобильных дорог общего пользования с твердым покрытием, километров дорог на 1000 км² территории График остатков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ВспомогательнаяКСводной!$E$3:$E$87</c:f>
              <c:numCache>
                <c:formatCode>General</c:formatCode>
                <c:ptCount val="85"/>
                <c:pt idx="0">
                  <c:v>37.200000000000003</c:v>
                </c:pt>
                <c:pt idx="1">
                  <c:v>71.2</c:v>
                </c:pt>
                <c:pt idx="2">
                  <c:v>34.9</c:v>
                </c:pt>
                <c:pt idx="3">
                  <c:v>4.4000000000000004</c:v>
                </c:pt>
                <c:pt idx="4">
                  <c:v>5.6</c:v>
                </c:pt>
                <c:pt idx="5">
                  <c:v>93.7</c:v>
                </c:pt>
                <c:pt idx="6">
                  <c:v>4.0999999999999996</c:v>
                </c:pt>
                <c:pt idx="7">
                  <c:v>33.200000000000003</c:v>
                </c:pt>
                <c:pt idx="8">
                  <c:v>12.8</c:v>
                </c:pt>
                <c:pt idx="9">
                  <c:v>1.3</c:v>
                </c:pt>
                <c:pt idx="10">
                  <c:v>115.8</c:v>
                </c:pt>
                <c:pt idx="11">
                  <c:v>314.60000000000002</c:v>
                </c:pt>
                <c:pt idx="12">
                  <c:v>164.6</c:v>
                </c:pt>
                <c:pt idx="13">
                  <c:v>279</c:v>
                </c:pt>
                <c:pt idx="14">
                  <c:v>146.9</c:v>
                </c:pt>
                <c:pt idx="15">
                  <c:v>325.10000000000002</c:v>
                </c:pt>
                <c:pt idx="16">
                  <c:v>226.1</c:v>
                </c:pt>
                <c:pt idx="17">
                  <c:v>305</c:v>
                </c:pt>
                <c:pt idx="18">
                  <c:v>476</c:v>
                </c:pt>
                <c:pt idx="19">
                  <c:v>352.1</c:v>
                </c:pt>
                <c:pt idx="20">
                  <c:v>181.7</c:v>
                </c:pt>
                <c:pt idx="21">
                  <c:v>269.60000000000002</c:v>
                </c:pt>
                <c:pt idx="22">
                  <c:v>262.60000000000002</c:v>
                </c:pt>
                <c:pt idx="23">
                  <c:v>471.7</c:v>
                </c:pt>
                <c:pt idx="24">
                  <c:v>29.6</c:v>
                </c:pt>
                <c:pt idx="25">
                  <c:v>110.7</c:v>
                </c:pt>
                <c:pt idx="26">
                  <c:v>518.9</c:v>
                </c:pt>
                <c:pt idx="27">
                  <c:v>221.7</c:v>
                </c:pt>
                <c:pt idx="28">
                  <c:v>24.2</c:v>
                </c:pt>
                <c:pt idx="29">
                  <c:v>1.9</c:v>
                </c:pt>
                <c:pt idx="30">
                  <c:v>200.8</c:v>
                </c:pt>
                <c:pt idx="31">
                  <c:v>312.60000000000002</c:v>
                </c:pt>
                <c:pt idx="32">
                  <c:v>48.1</c:v>
                </c:pt>
                <c:pt idx="33">
                  <c:v>16.5</c:v>
                </c:pt>
                <c:pt idx="34">
                  <c:v>2542.4</c:v>
                </c:pt>
                <c:pt idx="35">
                  <c:v>199.8</c:v>
                </c:pt>
                <c:pt idx="36">
                  <c:v>33</c:v>
                </c:pt>
                <c:pt idx="37">
                  <c:v>183.1</c:v>
                </c:pt>
                <c:pt idx="38">
                  <c:v>11.7</c:v>
                </c:pt>
                <c:pt idx="39">
                  <c:v>113</c:v>
                </c:pt>
                <c:pt idx="40">
                  <c:v>100.2</c:v>
                </c:pt>
                <c:pt idx="41">
                  <c:v>49.9</c:v>
                </c:pt>
                <c:pt idx="42">
                  <c:v>27.3</c:v>
                </c:pt>
                <c:pt idx="43">
                  <c:v>22.2</c:v>
                </c:pt>
                <c:pt idx="44">
                  <c:v>94.6</c:v>
                </c:pt>
                <c:pt idx="45">
                  <c:v>25.6</c:v>
                </c:pt>
                <c:pt idx="46">
                  <c:v>136.80000000000001</c:v>
                </c:pt>
                <c:pt idx="47">
                  <c:v>129.80000000000001</c:v>
                </c:pt>
                <c:pt idx="48">
                  <c:v>93.2</c:v>
                </c:pt>
                <c:pt idx="49">
                  <c:v>11.7</c:v>
                </c:pt>
                <c:pt idx="50">
                  <c:v>248.6</c:v>
                </c:pt>
                <c:pt idx="51">
                  <c:v>3.7</c:v>
                </c:pt>
                <c:pt idx="52">
                  <c:v>732</c:v>
                </c:pt>
                <c:pt idx="53">
                  <c:v>331.2</c:v>
                </c:pt>
                <c:pt idx="54">
                  <c:v>394.2</c:v>
                </c:pt>
                <c:pt idx="55">
                  <c:v>429.3</c:v>
                </c:pt>
                <c:pt idx="56">
                  <c:v>338.4</c:v>
                </c:pt>
                <c:pt idx="57">
                  <c:v>365.4</c:v>
                </c:pt>
                <c:pt idx="58">
                  <c:v>139.30000000000001</c:v>
                </c:pt>
                <c:pt idx="59">
                  <c:v>384.3</c:v>
                </c:pt>
                <c:pt idx="60">
                  <c:v>567.4</c:v>
                </c:pt>
                <c:pt idx="61">
                  <c:v>2521.6</c:v>
                </c:pt>
                <c:pt idx="62">
                  <c:v>848.8</c:v>
                </c:pt>
                <c:pt idx="63">
                  <c:v>409.4</c:v>
                </c:pt>
                <c:pt idx="64">
                  <c:v>284.8</c:v>
                </c:pt>
                <c:pt idx="65">
                  <c:v>336.6</c:v>
                </c:pt>
                <c:pt idx="66">
                  <c:v>299.2</c:v>
                </c:pt>
                <c:pt idx="67">
                  <c:v>257.5</c:v>
                </c:pt>
                <c:pt idx="68">
                  <c:v>413.1</c:v>
                </c:pt>
                <c:pt idx="69">
                  <c:v>287.10000000000002</c:v>
                </c:pt>
                <c:pt idx="70">
                  <c:v>84.8</c:v>
                </c:pt>
                <c:pt idx="71">
                  <c:v>153.4</c:v>
                </c:pt>
                <c:pt idx="72">
                  <c:v>665.7</c:v>
                </c:pt>
                <c:pt idx="73">
                  <c:v>363.3</c:v>
                </c:pt>
                <c:pt idx="74">
                  <c:v>481</c:v>
                </c:pt>
                <c:pt idx="75">
                  <c:v>578.79999999999995</c:v>
                </c:pt>
                <c:pt idx="76">
                  <c:v>477.5</c:v>
                </c:pt>
                <c:pt idx="77">
                  <c:v>1024.5</c:v>
                </c:pt>
                <c:pt idx="78">
                  <c:v>51.3</c:v>
                </c:pt>
                <c:pt idx="79">
                  <c:v>511.7</c:v>
                </c:pt>
                <c:pt idx="80">
                  <c:v>716.9</c:v>
                </c:pt>
                <c:pt idx="81">
                  <c:v>272.8</c:v>
                </c:pt>
                <c:pt idx="82">
                  <c:v>1213.5</c:v>
                </c:pt>
                <c:pt idx="83">
                  <c:v>280.7</c:v>
                </c:pt>
                <c:pt idx="84">
                  <c:v>651.70000000000005</c:v>
                </c:pt>
              </c:numCache>
            </c:numRef>
          </c:xVal>
          <c:yVal>
            <c:numRef>
              <c:f>ПакетАнализаРегрессия!$C$25:$C$109</c:f>
              <c:numCache>
                <c:formatCode>General</c:formatCode>
                <c:ptCount val="85"/>
                <c:pt idx="0">
                  <c:v>58.393582249689985</c:v>
                </c:pt>
                <c:pt idx="1">
                  <c:v>15.153402265856585</c:v>
                </c:pt>
                <c:pt idx="2">
                  <c:v>-10.53752322199189</c:v>
                </c:pt>
                <c:pt idx="3">
                  <c:v>-21.650008824729596</c:v>
                </c:pt>
                <c:pt idx="4">
                  <c:v>-18.933779882982535</c:v>
                </c:pt>
                <c:pt idx="5">
                  <c:v>-3.2423050763860743</c:v>
                </c:pt>
                <c:pt idx="6">
                  <c:v>-1.754066060166366</c:v>
                </c:pt>
                <c:pt idx="7">
                  <c:v>-34.660514222800231</c:v>
                </c:pt>
                <c:pt idx="8">
                  <c:v>1.9635937674998019</c:v>
                </c:pt>
                <c:pt idx="9">
                  <c:v>-62.1919335909095</c:v>
                </c:pt>
                <c:pt idx="10">
                  <c:v>59.056577934122231</c:v>
                </c:pt>
                <c:pt idx="11">
                  <c:v>15.645172616884707</c:v>
                </c:pt>
                <c:pt idx="12">
                  <c:v>-52.483445101497452</c:v>
                </c:pt>
                <c:pt idx="13">
                  <c:v>38.063714011721999</c:v>
                </c:pt>
                <c:pt idx="14">
                  <c:v>-32.722821992266546</c:v>
                </c:pt>
                <c:pt idx="15">
                  <c:v>-39.012824142828535</c:v>
                </c:pt>
                <c:pt idx="16">
                  <c:v>35.848288163039228</c:v>
                </c:pt>
                <c:pt idx="17">
                  <c:v>-27.384658917091741</c:v>
                </c:pt>
                <c:pt idx="18">
                  <c:v>-5.4720347181360864</c:v>
                </c:pt>
                <c:pt idx="19">
                  <c:v>0.65232704648025219</c:v>
                </c:pt>
                <c:pt idx="20">
                  <c:v>8.047817318398117</c:v>
                </c:pt>
                <c:pt idx="21">
                  <c:v>7.5365873013700622</c:v>
                </c:pt>
                <c:pt idx="22">
                  <c:v>-17.258081525487782</c:v>
                </c:pt>
                <c:pt idx="23">
                  <c:v>-7.4301884260630402</c:v>
                </c:pt>
                <c:pt idx="24">
                  <c:v>-41.409201048041396</c:v>
                </c:pt>
                <c:pt idx="25">
                  <c:v>8.0876049316972285</c:v>
                </c:pt>
                <c:pt idx="26">
                  <c:v>-6.3918500506787836</c:v>
                </c:pt>
                <c:pt idx="27">
                  <c:v>-6.8112179566999771</c:v>
                </c:pt>
                <c:pt idx="28">
                  <c:v>-26.982231285903154</c:v>
                </c:pt>
                <c:pt idx="29">
                  <c:v>-42.183819120035963</c:v>
                </c:pt>
                <c:pt idx="30">
                  <c:v>2.9061279745387765</c:v>
                </c:pt>
                <c:pt idx="31">
                  <c:v>15.818124380639617</c:v>
                </c:pt>
                <c:pt idx="32">
                  <c:v>-15.559004862774259</c:v>
                </c:pt>
                <c:pt idx="33">
                  <c:v>14.21363300455323</c:v>
                </c:pt>
                <c:pt idx="34">
                  <c:v>15.074202970296597</c:v>
                </c:pt>
                <c:pt idx="35">
                  <c:v>-0.80739614358375889</c:v>
                </c:pt>
                <c:pt idx="36">
                  <c:v>8.5367809535752599</c:v>
                </c:pt>
                <c:pt idx="37">
                  <c:v>-13.433248916230312</c:v>
                </c:pt>
                <c:pt idx="38">
                  <c:v>2.3487172375649976</c:v>
                </c:pt>
                <c:pt idx="39">
                  <c:v>-18.481289596620911</c:v>
                </c:pt>
                <c:pt idx="40">
                  <c:v>81.245601691410485</c:v>
                </c:pt>
                <c:pt idx="41">
                  <c:v>40.265338549846319</c:v>
                </c:pt>
                <c:pt idx="42">
                  <c:v>8.2596934802767379</c:v>
                </c:pt>
                <c:pt idx="43">
                  <c:v>156.49072047785177</c:v>
                </c:pt>
                <c:pt idx="44">
                  <c:v>-24.730133370075791</c:v>
                </c:pt>
                <c:pt idx="45">
                  <c:v>-59.163297520531593</c:v>
                </c:pt>
                <c:pt idx="46">
                  <c:v>-21.259415585304282</c:v>
                </c:pt>
                <c:pt idx="47">
                  <c:v>-54.654084412162106</c:v>
                </c:pt>
                <c:pt idx="48">
                  <c:v>69.150932864552658</c:v>
                </c:pt>
                <c:pt idx="49">
                  <c:v>-54.851282762434998</c:v>
                </c:pt>
                <c:pt idx="50">
                  <c:v>-8.8474191792034418</c:v>
                </c:pt>
                <c:pt idx="51">
                  <c:v>-66.359475707415385</c:v>
                </c:pt>
                <c:pt idx="52">
                  <c:v>-16.809860478763852</c:v>
                </c:pt>
                <c:pt idx="53">
                  <c:v>-38.730327022280989</c:v>
                </c:pt>
                <c:pt idx="54">
                  <c:v>56.821692419439515</c:v>
                </c:pt>
                <c:pt idx="55">
                  <c:v>8.5963889655409389</c:v>
                </c:pt>
                <c:pt idx="56">
                  <c:v>9.3670466282013507</c:v>
                </c:pt>
                <c:pt idx="57">
                  <c:v>23.132197817510132</c:v>
                </c:pt>
                <c:pt idx="58">
                  <c:v>64.174394710002076</c:v>
                </c:pt>
                <c:pt idx="59">
                  <c:v>19.387803650026285</c:v>
                </c:pt>
                <c:pt idx="60">
                  <c:v>-17.435930321735214</c:v>
                </c:pt>
                <c:pt idx="61">
                  <c:v>7.6929013133476047</c:v>
                </c:pt>
                <c:pt idx="62">
                  <c:v>-48.23024348205027</c:v>
                </c:pt>
                <c:pt idx="63">
                  <c:v>-18.072740985097766</c:v>
                </c:pt>
                <c:pt idx="64">
                  <c:v>4.5421538968327866</c:v>
                </c:pt>
                <c:pt idx="65">
                  <c:v>12.042703215580772</c:v>
                </c:pt>
                <c:pt idx="66">
                  <c:v>-0.7630988022025349</c:v>
                </c:pt>
                <c:pt idx="67">
                  <c:v>2.9729454720872468</c:v>
                </c:pt>
                <c:pt idx="68">
                  <c:v>5.2772982519556564</c:v>
                </c:pt>
                <c:pt idx="69">
                  <c:v>28.273259368514658</c:v>
                </c:pt>
                <c:pt idx="70">
                  <c:v>14.63733027232324</c:v>
                </c:pt>
                <c:pt idx="71">
                  <c:v>-20.534915224469984</c:v>
                </c:pt>
                <c:pt idx="72">
                  <c:v>-4.8065095102887767</c:v>
                </c:pt>
                <c:pt idx="73">
                  <c:v>18.803797169452793</c:v>
                </c:pt>
                <c:pt idx="74">
                  <c:v>21.695585872476656</c:v>
                </c:pt>
                <c:pt idx="75">
                  <c:v>-24.081755375138172</c:v>
                </c:pt>
                <c:pt idx="76">
                  <c:v>-13.151748540952255</c:v>
                </c:pt>
                <c:pt idx="77">
                  <c:v>-29.454055927918645</c:v>
                </c:pt>
                <c:pt idx="78">
                  <c:v>111.1842723152179</c:v>
                </c:pt>
                <c:pt idx="79">
                  <c:v>-3.5892237011611172</c:v>
                </c:pt>
                <c:pt idx="80">
                  <c:v>32.285925337585667</c:v>
                </c:pt>
                <c:pt idx="81">
                  <c:v>-28.620135520637788</c:v>
                </c:pt>
                <c:pt idx="82">
                  <c:v>33.302002397242887</c:v>
                </c:pt>
                <c:pt idx="83">
                  <c:v>12.986705012530336</c:v>
                </c:pt>
                <c:pt idx="84">
                  <c:v>-88.995847164004445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AC50-44B8-88BB-1EDA6045E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937416"/>
        <c:axId val="440930752"/>
      </c:scatterChart>
      <c:valAx>
        <c:axId val="440937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Плотность автомобильных дорог общего пользования с твердым покрытием, километров дорог на 1000 км² территории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40930752"/>
        <c:crosses val="autoZero"/>
        <c:crossBetween val="midCat"/>
      </c:valAx>
      <c:valAx>
        <c:axId val="440930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409374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Плотность автомобильных дорог общего пользования с твердым покрытием, километров дорог на 1000 км² территории График подбора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Количество ДТП с пострадавшими на 100 тыс. ед. автотранспорта в январе-июне 2024 г.</c:v>
          </c:tx>
          <c:spPr>
            <a:ln w="28575">
              <a:noFill/>
            </a:ln>
          </c:spPr>
          <c:xVal>
            <c:numRef>
              <c:f>ВспомогательнаяКСводной!$E$3:$E$87</c:f>
              <c:numCache>
                <c:formatCode>General</c:formatCode>
                <c:ptCount val="85"/>
                <c:pt idx="0">
                  <c:v>37.200000000000003</c:v>
                </c:pt>
                <c:pt idx="1">
                  <c:v>71.2</c:v>
                </c:pt>
                <c:pt idx="2">
                  <c:v>34.9</c:v>
                </c:pt>
                <c:pt idx="3">
                  <c:v>4.4000000000000004</c:v>
                </c:pt>
                <c:pt idx="4">
                  <c:v>5.6</c:v>
                </c:pt>
                <c:pt idx="5">
                  <c:v>93.7</c:v>
                </c:pt>
                <c:pt idx="6">
                  <c:v>4.0999999999999996</c:v>
                </c:pt>
                <c:pt idx="7">
                  <c:v>33.200000000000003</c:v>
                </c:pt>
                <c:pt idx="8">
                  <c:v>12.8</c:v>
                </c:pt>
                <c:pt idx="9">
                  <c:v>1.3</c:v>
                </c:pt>
                <c:pt idx="10">
                  <c:v>115.8</c:v>
                </c:pt>
                <c:pt idx="11">
                  <c:v>314.60000000000002</c:v>
                </c:pt>
                <c:pt idx="12">
                  <c:v>164.6</c:v>
                </c:pt>
                <c:pt idx="13">
                  <c:v>279</c:v>
                </c:pt>
                <c:pt idx="14">
                  <c:v>146.9</c:v>
                </c:pt>
                <c:pt idx="15">
                  <c:v>325.10000000000002</c:v>
                </c:pt>
                <c:pt idx="16">
                  <c:v>226.1</c:v>
                </c:pt>
                <c:pt idx="17">
                  <c:v>305</c:v>
                </c:pt>
                <c:pt idx="18">
                  <c:v>476</c:v>
                </c:pt>
                <c:pt idx="19">
                  <c:v>352.1</c:v>
                </c:pt>
                <c:pt idx="20">
                  <c:v>181.7</c:v>
                </c:pt>
                <c:pt idx="21">
                  <c:v>269.60000000000002</c:v>
                </c:pt>
                <c:pt idx="22">
                  <c:v>262.60000000000002</c:v>
                </c:pt>
                <c:pt idx="23">
                  <c:v>471.7</c:v>
                </c:pt>
                <c:pt idx="24">
                  <c:v>29.6</c:v>
                </c:pt>
                <c:pt idx="25">
                  <c:v>110.7</c:v>
                </c:pt>
                <c:pt idx="26">
                  <c:v>518.9</c:v>
                </c:pt>
                <c:pt idx="27">
                  <c:v>221.7</c:v>
                </c:pt>
                <c:pt idx="28">
                  <c:v>24.2</c:v>
                </c:pt>
                <c:pt idx="29">
                  <c:v>1.9</c:v>
                </c:pt>
                <c:pt idx="30">
                  <c:v>200.8</c:v>
                </c:pt>
                <c:pt idx="31">
                  <c:v>312.60000000000002</c:v>
                </c:pt>
                <c:pt idx="32">
                  <c:v>48.1</c:v>
                </c:pt>
                <c:pt idx="33">
                  <c:v>16.5</c:v>
                </c:pt>
                <c:pt idx="34">
                  <c:v>2542.4</c:v>
                </c:pt>
                <c:pt idx="35">
                  <c:v>199.8</c:v>
                </c:pt>
                <c:pt idx="36">
                  <c:v>33</c:v>
                </c:pt>
                <c:pt idx="37">
                  <c:v>183.1</c:v>
                </c:pt>
                <c:pt idx="38">
                  <c:v>11.7</c:v>
                </c:pt>
                <c:pt idx="39">
                  <c:v>113</c:v>
                </c:pt>
                <c:pt idx="40">
                  <c:v>100.2</c:v>
                </c:pt>
                <c:pt idx="41">
                  <c:v>49.9</c:v>
                </c:pt>
                <c:pt idx="42">
                  <c:v>27.3</c:v>
                </c:pt>
                <c:pt idx="43">
                  <c:v>22.2</c:v>
                </c:pt>
                <c:pt idx="44">
                  <c:v>94.6</c:v>
                </c:pt>
                <c:pt idx="45">
                  <c:v>25.6</c:v>
                </c:pt>
                <c:pt idx="46">
                  <c:v>136.80000000000001</c:v>
                </c:pt>
                <c:pt idx="47">
                  <c:v>129.80000000000001</c:v>
                </c:pt>
                <c:pt idx="48">
                  <c:v>93.2</c:v>
                </c:pt>
                <c:pt idx="49">
                  <c:v>11.7</c:v>
                </c:pt>
                <c:pt idx="50">
                  <c:v>248.6</c:v>
                </c:pt>
                <c:pt idx="51">
                  <c:v>3.7</c:v>
                </c:pt>
                <c:pt idx="52">
                  <c:v>732</c:v>
                </c:pt>
                <c:pt idx="53">
                  <c:v>331.2</c:v>
                </c:pt>
                <c:pt idx="54">
                  <c:v>394.2</c:v>
                </c:pt>
                <c:pt idx="55">
                  <c:v>429.3</c:v>
                </c:pt>
                <c:pt idx="56">
                  <c:v>338.4</c:v>
                </c:pt>
                <c:pt idx="57">
                  <c:v>365.4</c:v>
                </c:pt>
                <c:pt idx="58">
                  <c:v>139.30000000000001</c:v>
                </c:pt>
                <c:pt idx="59">
                  <c:v>384.3</c:v>
                </c:pt>
                <c:pt idx="60">
                  <c:v>567.4</c:v>
                </c:pt>
                <c:pt idx="61">
                  <c:v>2521.6</c:v>
                </c:pt>
                <c:pt idx="62">
                  <c:v>848.8</c:v>
                </c:pt>
                <c:pt idx="63">
                  <c:v>409.4</c:v>
                </c:pt>
                <c:pt idx="64">
                  <c:v>284.8</c:v>
                </c:pt>
                <c:pt idx="65">
                  <c:v>336.6</c:v>
                </c:pt>
                <c:pt idx="66">
                  <c:v>299.2</c:v>
                </c:pt>
                <c:pt idx="67">
                  <c:v>257.5</c:v>
                </c:pt>
                <c:pt idx="68">
                  <c:v>413.1</c:v>
                </c:pt>
                <c:pt idx="69">
                  <c:v>287.10000000000002</c:v>
                </c:pt>
                <c:pt idx="70">
                  <c:v>84.8</c:v>
                </c:pt>
                <c:pt idx="71">
                  <c:v>153.4</c:v>
                </c:pt>
                <c:pt idx="72">
                  <c:v>665.7</c:v>
                </c:pt>
                <c:pt idx="73">
                  <c:v>363.3</c:v>
                </c:pt>
                <c:pt idx="74">
                  <c:v>481</c:v>
                </c:pt>
                <c:pt idx="75">
                  <c:v>578.79999999999995</c:v>
                </c:pt>
                <c:pt idx="76">
                  <c:v>477.5</c:v>
                </c:pt>
                <c:pt idx="77">
                  <c:v>1024.5</c:v>
                </c:pt>
                <c:pt idx="78">
                  <c:v>51.3</c:v>
                </c:pt>
                <c:pt idx="79">
                  <c:v>511.7</c:v>
                </c:pt>
                <c:pt idx="80">
                  <c:v>716.9</c:v>
                </c:pt>
                <c:pt idx="81">
                  <c:v>272.8</c:v>
                </c:pt>
                <c:pt idx="82">
                  <c:v>1213.5</c:v>
                </c:pt>
                <c:pt idx="83">
                  <c:v>280.7</c:v>
                </c:pt>
                <c:pt idx="84">
                  <c:v>651.70000000000005</c:v>
                </c:pt>
              </c:numCache>
            </c:numRef>
          </c:xVal>
          <c:yVal>
            <c:numRef>
              <c:f>ВспомогательнаяКСводной!$D$3:$D$87</c:f>
              <c:numCache>
                <c:formatCode>General</c:formatCode>
                <c:ptCount val="85"/>
                <c:pt idx="0">
                  <c:v>166.8</c:v>
                </c:pt>
                <c:pt idx="1">
                  <c:v>123.1</c:v>
                </c:pt>
                <c:pt idx="2">
                  <c:v>97.9</c:v>
                </c:pt>
                <c:pt idx="3">
                  <c:v>87.2</c:v>
                </c:pt>
                <c:pt idx="4">
                  <c:v>89.9</c:v>
                </c:pt>
                <c:pt idx="5">
                  <c:v>104.4</c:v>
                </c:pt>
                <c:pt idx="6">
                  <c:v>107.1</c:v>
                </c:pt>
                <c:pt idx="7">
                  <c:v>73.8</c:v>
                </c:pt>
                <c:pt idx="8">
                  <c:v>110.7</c:v>
                </c:pt>
                <c:pt idx="9">
                  <c:v>46.7</c:v>
                </c:pt>
                <c:pt idx="10">
                  <c:v>166.4</c:v>
                </c:pt>
                <c:pt idx="11">
                  <c:v>120.3</c:v>
                </c:pt>
                <c:pt idx="12">
                  <c:v>54.2</c:v>
                </c:pt>
                <c:pt idx="13">
                  <c:v>143.19999999999999</c:v>
                </c:pt>
                <c:pt idx="14">
                  <c:v>74.2</c:v>
                </c:pt>
                <c:pt idx="15">
                  <c:v>65.5</c:v>
                </c:pt>
                <c:pt idx="16">
                  <c:v>141.69999999999999</c:v>
                </c:pt>
                <c:pt idx="17">
                  <c:v>77.400000000000006</c:v>
                </c:pt>
                <c:pt idx="18">
                  <c:v>97</c:v>
                </c:pt>
                <c:pt idx="19">
                  <c:v>104.8</c:v>
                </c:pt>
                <c:pt idx="20">
                  <c:v>114.5</c:v>
                </c:pt>
                <c:pt idx="21">
                  <c:v>112.8</c:v>
                </c:pt>
                <c:pt idx="22">
                  <c:v>88.1</c:v>
                </c:pt>
                <c:pt idx="23">
                  <c:v>95.1</c:v>
                </c:pt>
                <c:pt idx="24">
                  <c:v>67.099999999999994</c:v>
                </c:pt>
                <c:pt idx="25">
                  <c:v>115.5</c:v>
                </c:pt>
                <c:pt idx="26">
                  <c:v>95.5</c:v>
                </c:pt>
                <c:pt idx="27">
                  <c:v>99.1</c:v>
                </c:pt>
                <c:pt idx="28">
                  <c:v>81.599999999999994</c:v>
                </c:pt>
                <c:pt idx="29">
                  <c:v>66.7</c:v>
                </c:pt>
                <c:pt idx="30">
                  <c:v>109.1</c:v>
                </c:pt>
                <c:pt idx="31">
                  <c:v>120.5</c:v>
                </c:pt>
                <c:pt idx="32">
                  <c:v>92.7</c:v>
                </c:pt>
                <c:pt idx="33">
                  <c:v>122.9</c:v>
                </c:pt>
                <c:pt idx="34">
                  <c:v>89.6</c:v>
                </c:pt>
                <c:pt idx="35">
                  <c:v>105.4</c:v>
                </c:pt>
                <c:pt idx="36">
                  <c:v>117</c:v>
                </c:pt>
                <c:pt idx="37">
                  <c:v>93</c:v>
                </c:pt>
                <c:pt idx="38">
                  <c:v>111.1</c:v>
                </c:pt>
                <c:pt idx="39">
                  <c:v>88.9</c:v>
                </c:pt>
                <c:pt idx="40">
                  <c:v>188.8</c:v>
                </c:pt>
                <c:pt idx="41">
                  <c:v>148.5</c:v>
                </c:pt>
                <c:pt idx="42">
                  <c:v>116.8</c:v>
                </c:pt>
                <c:pt idx="43">
                  <c:v>265.10000000000002</c:v>
                </c:pt>
                <c:pt idx="44">
                  <c:v>82.9</c:v>
                </c:pt>
                <c:pt idx="45">
                  <c:v>49.4</c:v>
                </c:pt>
                <c:pt idx="46">
                  <c:v>85.8</c:v>
                </c:pt>
                <c:pt idx="47">
                  <c:v>52.5</c:v>
                </c:pt>
                <c:pt idx="48">
                  <c:v>176.8</c:v>
                </c:pt>
                <c:pt idx="49">
                  <c:v>53.9</c:v>
                </c:pt>
                <c:pt idx="50">
                  <c:v>96.7</c:v>
                </c:pt>
                <c:pt idx="51">
                  <c:v>42.5</c:v>
                </c:pt>
                <c:pt idx="52">
                  <c:v>82.2</c:v>
                </c:pt>
                <c:pt idx="53">
                  <c:v>65.7</c:v>
                </c:pt>
                <c:pt idx="54">
                  <c:v>160.4</c:v>
                </c:pt>
                <c:pt idx="55">
                  <c:v>111.7</c:v>
                </c:pt>
                <c:pt idx="56">
                  <c:v>113.7</c:v>
                </c:pt>
                <c:pt idx="57">
                  <c:v>127.1</c:v>
                </c:pt>
                <c:pt idx="58">
                  <c:v>171.2</c:v>
                </c:pt>
                <c:pt idx="59">
                  <c:v>123.1</c:v>
                </c:pt>
                <c:pt idx="60">
                  <c:v>83.8</c:v>
                </c:pt>
                <c:pt idx="61">
                  <c:v>82.5</c:v>
                </c:pt>
                <c:pt idx="62">
                  <c:v>49.2</c:v>
                </c:pt>
                <c:pt idx="63">
                  <c:v>85.3</c:v>
                </c:pt>
                <c:pt idx="64">
                  <c:v>109.6</c:v>
                </c:pt>
                <c:pt idx="65">
                  <c:v>116.4</c:v>
                </c:pt>
                <c:pt idx="66">
                  <c:v>104.1</c:v>
                </c:pt>
                <c:pt idx="67">
                  <c:v>108.4</c:v>
                </c:pt>
                <c:pt idx="68">
                  <c:v>108.6</c:v>
                </c:pt>
                <c:pt idx="69">
                  <c:v>133.30000000000001</c:v>
                </c:pt>
                <c:pt idx="70">
                  <c:v>122.4</c:v>
                </c:pt>
                <c:pt idx="71">
                  <c:v>86.3</c:v>
                </c:pt>
                <c:pt idx="72">
                  <c:v>95.1</c:v>
                </c:pt>
                <c:pt idx="73">
                  <c:v>122.8</c:v>
                </c:pt>
                <c:pt idx="74">
                  <c:v>124.1</c:v>
                </c:pt>
                <c:pt idx="75">
                  <c:v>77</c:v>
                </c:pt>
                <c:pt idx="76">
                  <c:v>89.3</c:v>
                </c:pt>
                <c:pt idx="77">
                  <c:v>65.599999999999994</c:v>
                </c:pt>
                <c:pt idx="78">
                  <c:v>219.4</c:v>
                </c:pt>
                <c:pt idx="79">
                  <c:v>98.4</c:v>
                </c:pt>
                <c:pt idx="80">
                  <c:v>131.5</c:v>
                </c:pt>
                <c:pt idx="81">
                  <c:v>76.599999999999994</c:v>
                </c:pt>
                <c:pt idx="82">
                  <c:v>125.8</c:v>
                </c:pt>
                <c:pt idx="83">
                  <c:v>118.1</c:v>
                </c:pt>
                <c:pt idx="84">
                  <c:v>11.1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89D-4274-BC0E-2B8CD300E0D3}"/>
            </c:ext>
          </c:extLst>
        </c:ser>
        <c:ser>
          <c:idx val="1"/>
          <c:order val="1"/>
          <c:tx>
            <c:v>Предсказанное Количество ДТП с пострадавшими на 100 тыс. ед. автотранспорта в январе-июне 2024 г.</c:v>
          </c:tx>
          <c:spPr>
            <a:ln w="28575">
              <a:noFill/>
            </a:ln>
          </c:spPr>
          <c:xVal>
            <c:numRef>
              <c:f>ВспомогательнаяКСводной!$E$3:$E$87</c:f>
              <c:numCache>
                <c:formatCode>General</c:formatCode>
                <c:ptCount val="85"/>
                <c:pt idx="0">
                  <c:v>37.200000000000003</c:v>
                </c:pt>
                <c:pt idx="1">
                  <c:v>71.2</c:v>
                </c:pt>
                <c:pt idx="2">
                  <c:v>34.9</c:v>
                </c:pt>
                <c:pt idx="3">
                  <c:v>4.4000000000000004</c:v>
                </c:pt>
                <c:pt idx="4">
                  <c:v>5.6</c:v>
                </c:pt>
                <c:pt idx="5">
                  <c:v>93.7</c:v>
                </c:pt>
                <c:pt idx="6">
                  <c:v>4.0999999999999996</c:v>
                </c:pt>
                <c:pt idx="7">
                  <c:v>33.200000000000003</c:v>
                </c:pt>
                <c:pt idx="8">
                  <c:v>12.8</c:v>
                </c:pt>
                <c:pt idx="9">
                  <c:v>1.3</c:v>
                </c:pt>
                <c:pt idx="10">
                  <c:v>115.8</c:v>
                </c:pt>
                <c:pt idx="11">
                  <c:v>314.60000000000002</c:v>
                </c:pt>
                <c:pt idx="12">
                  <c:v>164.6</c:v>
                </c:pt>
                <c:pt idx="13">
                  <c:v>279</c:v>
                </c:pt>
                <c:pt idx="14">
                  <c:v>146.9</c:v>
                </c:pt>
                <c:pt idx="15">
                  <c:v>325.10000000000002</c:v>
                </c:pt>
                <c:pt idx="16">
                  <c:v>226.1</c:v>
                </c:pt>
                <c:pt idx="17">
                  <c:v>305</c:v>
                </c:pt>
                <c:pt idx="18">
                  <c:v>476</c:v>
                </c:pt>
                <c:pt idx="19">
                  <c:v>352.1</c:v>
                </c:pt>
                <c:pt idx="20">
                  <c:v>181.7</c:v>
                </c:pt>
                <c:pt idx="21">
                  <c:v>269.60000000000002</c:v>
                </c:pt>
                <c:pt idx="22">
                  <c:v>262.60000000000002</c:v>
                </c:pt>
                <c:pt idx="23">
                  <c:v>471.7</c:v>
                </c:pt>
                <c:pt idx="24">
                  <c:v>29.6</c:v>
                </c:pt>
                <c:pt idx="25">
                  <c:v>110.7</c:v>
                </c:pt>
                <c:pt idx="26">
                  <c:v>518.9</c:v>
                </c:pt>
                <c:pt idx="27">
                  <c:v>221.7</c:v>
                </c:pt>
                <c:pt idx="28">
                  <c:v>24.2</c:v>
                </c:pt>
                <c:pt idx="29">
                  <c:v>1.9</c:v>
                </c:pt>
                <c:pt idx="30">
                  <c:v>200.8</c:v>
                </c:pt>
                <c:pt idx="31">
                  <c:v>312.60000000000002</c:v>
                </c:pt>
                <c:pt idx="32">
                  <c:v>48.1</c:v>
                </c:pt>
                <c:pt idx="33">
                  <c:v>16.5</c:v>
                </c:pt>
                <c:pt idx="34">
                  <c:v>2542.4</c:v>
                </c:pt>
                <c:pt idx="35">
                  <c:v>199.8</c:v>
                </c:pt>
                <c:pt idx="36">
                  <c:v>33</c:v>
                </c:pt>
                <c:pt idx="37">
                  <c:v>183.1</c:v>
                </c:pt>
                <c:pt idx="38">
                  <c:v>11.7</c:v>
                </c:pt>
                <c:pt idx="39">
                  <c:v>113</c:v>
                </c:pt>
                <c:pt idx="40">
                  <c:v>100.2</c:v>
                </c:pt>
                <c:pt idx="41">
                  <c:v>49.9</c:v>
                </c:pt>
                <c:pt idx="42">
                  <c:v>27.3</c:v>
                </c:pt>
                <c:pt idx="43">
                  <c:v>22.2</c:v>
                </c:pt>
                <c:pt idx="44">
                  <c:v>94.6</c:v>
                </c:pt>
                <c:pt idx="45">
                  <c:v>25.6</c:v>
                </c:pt>
                <c:pt idx="46">
                  <c:v>136.80000000000001</c:v>
                </c:pt>
                <c:pt idx="47">
                  <c:v>129.80000000000001</c:v>
                </c:pt>
                <c:pt idx="48">
                  <c:v>93.2</c:v>
                </c:pt>
                <c:pt idx="49">
                  <c:v>11.7</c:v>
                </c:pt>
                <c:pt idx="50">
                  <c:v>248.6</c:v>
                </c:pt>
                <c:pt idx="51">
                  <c:v>3.7</c:v>
                </c:pt>
                <c:pt idx="52">
                  <c:v>732</c:v>
                </c:pt>
                <c:pt idx="53">
                  <c:v>331.2</c:v>
                </c:pt>
                <c:pt idx="54">
                  <c:v>394.2</c:v>
                </c:pt>
                <c:pt idx="55">
                  <c:v>429.3</c:v>
                </c:pt>
                <c:pt idx="56">
                  <c:v>338.4</c:v>
                </c:pt>
                <c:pt idx="57">
                  <c:v>365.4</c:v>
                </c:pt>
                <c:pt idx="58">
                  <c:v>139.30000000000001</c:v>
                </c:pt>
                <c:pt idx="59">
                  <c:v>384.3</c:v>
                </c:pt>
                <c:pt idx="60">
                  <c:v>567.4</c:v>
                </c:pt>
                <c:pt idx="61">
                  <c:v>2521.6</c:v>
                </c:pt>
                <c:pt idx="62">
                  <c:v>848.8</c:v>
                </c:pt>
                <c:pt idx="63">
                  <c:v>409.4</c:v>
                </c:pt>
                <c:pt idx="64">
                  <c:v>284.8</c:v>
                </c:pt>
                <c:pt idx="65">
                  <c:v>336.6</c:v>
                </c:pt>
                <c:pt idx="66">
                  <c:v>299.2</c:v>
                </c:pt>
                <c:pt idx="67">
                  <c:v>257.5</c:v>
                </c:pt>
                <c:pt idx="68">
                  <c:v>413.1</c:v>
                </c:pt>
                <c:pt idx="69">
                  <c:v>287.10000000000002</c:v>
                </c:pt>
                <c:pt idx="70">
                  <c:v>84.8</c:v>
                </c:pt>
                <c:pt idx="71">
                  <c:v>153.4</c:v>
                </c:pt>
                <c:pt idx="72">
                  <c:v>665.7</c:v>
                </c:pt>
                <c:pt idx="73">
                  <c:v>363.3</c:v>
                </c:pt>
                <c:pt idx="74">
                  <c:v>481</c:v>
                </c:pt>
                <c:pt idx="75">
                  <c:v>578.79999999999995</c:v>
                </c:pt>
                <c:pt idx="76">
                  <c:v>477.5</c:v>
                </c:pt>
                <c:pt idx="77">
                  <c:v>1024.5</c:v>
                </c:pt>
                <c:pt idx="78">
                  <c:v>51.3</c:v>
                </c:pt>
                <c:pt idx="79">
                  <c:v>511.7</c:v>
                </c:pt>
                <c:pt idx="80">
                  <c:v>716.9</c:v>
                </c:pt>
                <c:pt idx="81">
                  <c:v>272.8</c:v>
                </c:pt>
                <c:pt idx="82">
                  <c:v>1213.5</c:v>
                </c:pt>
                <c:pt idx="83">
                  <c:v>280.7</c:v>
                </c:pt>
                <c:pt idx="84">
                  <c:v>651.70000000000005</c:v>
                </c:pt>
              </c:numCache>
            </c:numRef>
          </c:xVal>
          <c:yVal>
            <c:numRef>
              <c:f>ПакетАнализаРегрессия!$B$25:$B$109</c:f>
              <c:numCache>
                <c:formatCode>General</c:formatCode>
                <c:ptCount val="85"/>
                <c:pt idx="0">
                  <c:v>108.40641775031003</c:v>
                </c:pt>
                <c:pt idx="1">
                  <c:v>107.94659773414341</c:v>
                </c:pt>
                <c:pt idx="2">
                  <c:v>108.4375232219919</c:v>
                </c:pt>
                <c:pt idx="3">
                  <c:v>108.8500088247296</c:v>
                </c:pt>
                <c:pt idx="4">
                  <c:v>108.83377988298254</c:v>
                </c:pt>
                <c:pt idx="5">
                  <c:v>107.64230507638608</c:v>
                </c:pt>
                <c:pt idx="6">
                  <c:v>108.85406606016636</c:v>
                </c:pt>
                <c:pt idx="7">
                  <c:v>108.46051422280023</c:v>
                </c:pt>
                <c:pt idx="8">
                  <c:v>108.7364062325002</c:v>
                </c:pt>
                <c:pt idx="9">
                  <c:v>108.8919335909095</c:v>
                </c:pt>
                <c:pt idx="10">
                  <c:v>107.34342206587777</c:v>
                </c:pt>
                <c:pt idx="11">
                  <c:v>104.65482738311529</c:v>
                </c:pt>
                <c:pt idx="12">
                  <c:v>106.68344510149745</c:v>
                </c:pt>
                <c:pt idx="13">
                  <c:v>105.13628598827799</c:v>
                </c:pt>
                <c:pt idx="14">
                  <c:v>106.92282199226655</c:v>
                </c:pt>
                <c:pt idx="15">
                  <c:v>104.51282414282853</c:v>
                </c:pt>
                <c:pt idx="16">
                  <c:v>105.85171183696076</c:v>
                </c:pt>
                <c:pt idx="17">
                  <c:v>104.78465891709175</c:v>
                </c:pt>
                <c:pt idx="18">
                  <c:v>102.47203471813609</c:v>
                </c:pt>
                <c:pt idx="19">
                  <c:v>104.14767295351974</c:v>
                </c:pt>
                <c:pt idx="20">
                  <c:v>106.45218268160188</c:v>
                </c:pt>
                <c:pt idx="21">
                  <c:v>105.26341269862993</c:v>
                </c:pt>
                <c:pt idx="22">
                  <c:v>105.35808152548778</c:v>
                </c:pt>
                <c:pt idx="23">
                  <c:v>102.53018842606303</c:v>
                </c:pt>
                <c:pt idx="24">
                  <c:v>108.50920104804139</c:v>
                </c:pt>
                <c:pt idx="25">
                  <c:v>107.41239506830277</c:v>
                </c:pt>
                <c:pt idx="26">
                  <c:v>101.89185005067878</c:v>
                </c:pt>
                <c:pt idx="27">
                  <c:v>105.91121795669997</c:v>
                </c:pt>
                <c:pt idx="28">
                  <c:v>108.58223128590315</c:v>
                </c:pt>
                <c:pt idx="29">
                  <c:v>108.88381912003597</c:v>
                </c:pt>
                <c:pt idx="30">
                  <c:v>106.19387202546122</c:v>
                </c:pt>
                <c:pt idx="31">
                  <c:v>104.68187561936038</c:v>
                </c:pt>
                <c:pt idx="32">
                  <c:v>108.25900486277426</c:v>
                </c:pt>
                <c:pt idx="33">
                  <c:v>108.68636699544678</c:v>
                </c:pt>
                <c:pt idx="34">
                  <c:v>74.525797029703398</c:v>
                </c:pt>
                <c:pt idx="35">
                  <c:v>106.20739614358376</c:v>
                </c:pt>
                <c:pt idx="36">
                  <c:v>108.46321904642474</c:v>
                </c:pt>
                <c:pt idx="37">
                  <c:v>106.43324891623031</c:v>
                </c:pt>
                <c:pt idx="38">
                  <c:v>108.751282762435</c:v>
                </c:pt>
                <c:pt idx="39">
                  <c:v>107.38128959662092</c:v>
                </c:pt>
                <c:pt idx="40">
                  <c:v>107.55439830858953</c:v>
                </c:pt>
                <c:pt idx="41">
                  <c:v>108.23466145015368</c:v>
                </c:pt>
                <c:pt idx="42">
                  <c:v>108.54030651972326</c:v>
                </c:pt>
                <c:pt idx="43">
                  <c:v>108.60927952214826</c:v>
                </c:pt>
                <c:pt idx="44">
                  <c:v>107.6301333700758</c:v>
                </c:pt>
                <c:pt idx="45">
                  <c:v>108.56329752053159</c:v>
                </c:pt>
                <c:pt idx="46">
                  <c:v>107.05941558530428</c:v>
                </c:pt>
                <c:pt idx="47">
                  <c:v>107.15408441216211</c:v>
                </c:pt>
                <c:pt idx="48">
                  <c:v>107.64906713544735</c:v>
                </c:pt>
                <c:pt idx="49">
                  <c:v>108.751282762435</c:v>
                </c:pt>
                <c:pt idx="50">
                  <c:v>105.54741917920344</c:v>
                </c:pt>
                <c:pt idx="51">
                  <c:v>108.85947570741538</c:v>
                </c:pt>
                <c:pt idx="52">
                  <c:v>99.009860478763855</c:v>
                </c:pt>
                <c:pt idx="53">
                  <c:v>104.43032702228099</c:v>
                </c:pt>
                <c:pt idx="54">
                  <c:v>103.57830758056049</c:v>
                </c:pt>
                <c:pt idx="55">
                  <c:v>103.10361103445906</c:v>
                </c:pt>
                <c:pt idx="56">
                  <c:v>104.33295337179865</c:v>
                </c:pt>
                <c:pt idx="57">
                  <c:v>103.96780218248986</c:v>
                </c:pt>
                <c:pt idx="58">
                  <c:v>107.02560528999791</c:v>
                </c:pt>
                <c:pt idx="59">
                  <c:v>103.71219634997371</c:v>
                </c:pt>
                <c:pt idx="60">
                  <c:v>101.23593032173521</c:v>
                </c:pt>
                <c:pt idx="61">
                  <c:v>74.807098686652395</c:v>
                </c:pt>
                <c:pt idx="62">
                  <c:v>97.430243482050273</c:v>
                </c:pt>
                <c:pt idx="63">
                  <c:v>103.37274098509776</c:v>
                </c:pt>
                <c:pt idx="64">
                  <c:v>105.05784610316721</c:v>
                </c:pt>
                <c:pt idx="65">
                  <c:v>104.35729678441923</c:v>
                </c:pt>
                <c:pt idx="66">
                  <c:v>104.86309880220253</c:v>
                </c:pt>
                <c:pt idx="67">
                  <c:v>105.42705452791276</c:v>
                </c:pt>
                <c:pt idx="68">
                  <c:v>103.32270174804434</c:v>
                </c:pt>
                <c:pt idx="69">
                  <c:v>105.02674063148535</c:v>
                </c:pt>
                <c:pt idx="70">
                  <c:v>107.76266972767677</c:v>
                </c:pt>
                <c:pt idx="71">
                  <c:v>106.83491522446998</c:v>
                </c:pt>
                <c:pt idx="72">
                  <c:v>99.906509510288771</c:v>
                </c:pt>
                <c:pt idx="73">
                  <c:v>103.9962028305472</c:v>
                </c:pt>
                <c:pt idx="74">
                  <c:v>102.40441412752334</c:v>
                </c:pt>
                <c:pt idx="75">
                  <c:v>101.08175537513817</c:v>
                </c:pt>
                <c:pt idx="76">
                  <c:v>102.45174854095225</c:v>
                </c:pt>
                <c:pt idx="77">
                  <c:v>95.05405592791864</c:v>
                </c:pt>
                <c:pt idx="78">
                  <c:v>108.21572768478211</c:v>
                </c:pt>
                <c:pt idx="79">
                  <c:v>101.98922370116112</c:v>
                </c:pt>
                <c:pt idx="80">
                  <c:v>99.214074662414333</c:v>
                </c:pt>
                <c:pt idx="81">
                  <c:v>105.22013552063778</c:v>
                </c:pt>
                <c:pt idx="82">
                  <c:v>92.49799760275711</c:v>
                </c:pt>
                <c:pt idx="83">
                  <c:v>105.11329498746966</c:v>
                </c:pt>
                <c:pt idx="84">
                  <c:v>100.09584716400444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989D-4274-BC0E-2B8CD300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933104"/>
        <c:axId val="440937808"/>
      </c:scatterChart>
      <c:valAx>
        <c:axId val="440933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Плотность автомобильных дорог общего пользования с твердым покрытием, километров дорог на 1000 км² территории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40937808"/>
        <c:crosses val="autoZero"/>
        <c:crossBetween val="midCat"/>
      </c:valAx>
      <c:valAx>
        <c:axId val="4409378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ДТП с пострадавшими на 100 тыс. ед. автотранспорта в январе-июне 2024 г.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409331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нормального распределения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ПакетАнализаРегрессия!$F$25:$F$109</c:f>
              <c:numCache>
                <c:formatCode>General</c:formatCode>
                <c:ptCount val="85"/>
                <c:pt idx="0">
                  <c:v>0.58823529411764708</c:v>
                </c:pt>
                <c:pt idx="1">
                  <c:v>1.7647058823529411</c:v>
                </c:pt>
                <c:pt idx="2">
                  <c:v>2.9411764705882355</c:v>
                </c:pt>
                <c:pt idx="3">
                  <c:v>4.117647058823529</c:v>
                </c:pt>
                <c:pt idx="4">
                  <c:v>5.2941176470588234</c:v>
                </c:pt>
                <c:pt idx="5">
                  <c:v>6.4705882352941178</c:v>
                </c:pt>
                <c:pt idx="6">
                  <c:v>7.6470588235294112</c:v>
                </c:pt>
                <c:pt idx="7">
                  <c:v>8.8235294117647065</c:v>
                </c:pt>
                <c:pt idx="8">
                  <c:v>10</c:v>
                </c:pt>
                <c:pt idx="9">
                  <c:v>11.176470588235293</c:v>
                </c:pt>
                <c:pt idx="10">
                  <c:v>12.352941176470589</c:v>
                </c:pt>
                <c:pt idx="11">
                  <c:v>13.529411764705882</c:v>
                </c:pt>
                <c:pt idx="12">
                  <c:v>14.705882352941176</c:v>
                </c:pt>
                <c:pt idx="13">
                  <c:v>15.882352941176471</c:v>
                </c:pt>
                <c:pt idx="14">
                  <c:v>17.058823529411768</c:v>
                </c:pt>
                <c:pt idx="15">
                  <c:v>18.235294117647062</c:v>
                </c:pt>
                <c:pt idx="16">
                  <c:v>19.411764705882355</c:v>
                </c:pt>
                <c:pt idx="17">
                  <c:v>20.588235294117649</c:v>
                </c:pt>
                <c:pt idx="18">
                  <c:v>21.764705882352942</c:v>
                </c:pt>
                <c:pt idx="19">
                  <c:v>22.941176470588239</c:v>
                </c:pt>
                <c:pt idx="20">
                  <c:v>24.117647058823533</c:v>
                </c:pt>
                <c:pt idx="21">
                  <c:v>25.294117647058826</c:v>
                </c:pt>
                <c:pt idx="22">
                  <c:v>26.47058823529412</c:v>
                </c:pt>
                <c:pt idx="23">
                  <c:v>27.647058823529413</c:v>
                </c:pt>
                <c:pt idx="24">
                  <c:v>28.823529411764707</c:v>
                </c:pt>
                <c:pt idx="25">
                  <c:v>30.000000000000004</c:v>
                </c:pt>
                <c:pt idx="26">
                  <c:v>31.176470588235297</c:v>
                </c:pt>
                <c:pt idx="27">
                  <c:v>32.352941176470587</c:v>
                </c:pt>
                <c:pt idx="28">
                  <c:v>33.529411764705884</c:v>
                </c:pt>
                <c:pt idx="29">
                  <c:v>34.705882352941174</c:v>
                </c:pt>
                <c:pt idx="30">
                  <c:v>35.882352941176471</c:v>
                </c:pt>
                <c:pt idx="31">
                  <c:v>37.058823529411761</c:v>
                </c:pt>
                <c:pt idx="32">
                  <c:v>38.235294117647058</c:v>
                </c:pt>
                <c:pt idx="33">
                  <c:v>39.411764705882355</c:v>
                </c:pt>
                <c:pt idx="34">
                  <c:v>40.588235294117645</c:v>
                </c:pt>
                <c:pt idx="35">
                  <c:v>41.764705882352942</c:v>
                </c:pt>
                <c:pt idx="36">
                  <c:v>42.941176470588232</c:v>
                </c:pt>
                <c:pt idx="37">
                  <c:v>44.117647058823529</c:v>
                </c:pt>
                <c:pt idx="38">
                  <c:v>45.294117647058826</c:v>
                </c:pt>
                <c:pt idx="39">
                  <c:v>46.470588235294116</c:v>
                </c:pt>
                <c:pt idx="40">
                  <c:v>47.647058823529413</c:v>
                </c:pt>
                <c:pt idx="41">
                  <c:v>48.823529411764703</c:v>
                </c:pt>
                <c:pt idx="42">
                  <c:v>50</c:v>
                </c:pt>
                <c:pt idx="43">
                  <c:v>51.176470588235297</c:v>
                </c:pt>
                <c:pt idx="44">
                  <c:v>52.352941176470587</c:v>
                </c:pt>
                <c:pt idx="45">
                  <c:v>53.529411764705884</c:v>
                </c:pt>
                <c:pt idx="46">
                  <c:v>54.705882352941174</c:v>
                </c:pt>
                <c:pt idx="47">
                  <c:v>55.882352941176471</c:v>
                </c:pt>
                <c:pt idx="48">
                  <c:v>57.058823529411761</c:v>
                </c:pt>
                <c:pt idx="49">
                  <c:v>58.235294117647058</c:v>
                </c:pt>
                <c:pt idx="50">
                  <c:v>59.411764705882355</c:v>
                </c:pt>
                <c:pt idx="51">
                  <c:v>60.588235294117645</c:v>
                </c:pt>
                <c:pt idx="52">
                  <c:v>61.764705882352942</c:v>
                </c:pt>
                <c:pt idx="53">
                  <c:v>62.941176470588232</c:v>
                </c:pt>
                <c:pt idx="54">
                  <c:v>64.117647058823536</c:v>
                </c:pt>
                <c:pt idx="55">
                  <c:v>65.294117647058826</c:v>
                </c:pt>
                <c:pt idx="56">
                  <c:v>66.47058823529413</c:v>
                </c:pt>
                <c:pt idx="57">
                  <c:v>67.64705882352942</c:v>
                </c:pt>
                <c:pt idx="58">
                  <c:v>68.82352941176471</c:v>
                </c:pt>
                <c:pt idx="59">
                  <c:v>70.000000000000014</c:v>
                </c:pt>
                <c:pt idx="60">
                  <c:v>71.176470588235304</c:v>
                </c:pt>
                <c:pt idx="61">
                  <c:v>72.352941176470594</c:v>
                </c:pt>
                <c:pt idx="62">
                  <c:v>73.529411764705884</c:v>
                </c:pt>
                <c:pt idx="63">
                  <c:v>74.705882352941188</c:v>
                </c:pt>
                <c:pt idx="64">
                  <c:v>75.882352941176478</c:v>
                </c:pt>
                <c:pt idx="65">
                  <c:v>77.058823529411768</c:v>
                </c:pt>
                <c:pt idx="66">
                  <c:v>78.235294117647072</c:v>
                </c:pt>
                <c:pt idx="67">
                  <c:v>79.411764705882362</c:v>
                </c:pt>
                <c:pt idx="68">
                  <c:v>80.588235294117652</c:v>
                </c:pt>
                <c:pt idx="69">
                  <c:v>81.764705882352942</c:v>
                </c:pt>
                <c:pt idx="70">
                  <c:v>82.941176470588246</c:v>
                </c:pt>
                <c:pt idx="71">
                  <c:v>84.117647058823536</c:v>
                </c:pt>
                <c:pt idx="72">
                  <c:v>85.294117647058826</c:v>
                </c:pt>
                <c:pt idx="73">
                  <c:v>86.47058823529413</c:v>
                </c:pt>
                <c:pt idx="74">
                  <c:v>87.64705882352942</c:v>
                </c:pt>
                <c:pt idx="75">
                  <c:v>88.82352941176471</c:v>
                </c:pt>
                <c:pt idx="76">
                  <c:v>90.000000000000014</c:v>
                </c:pt>
                <c:pt idx="77">
                  <c:v>91.176470588235304</c:v>
                </c:pt>
                <c:pt idx="78">
                  <c:v>92.352941176470594</c:v>
                </c:pt>
                <c:pt idx="79">
                  <c:v>93.529411764705884</c:v>
                </c:pt>
                <c:pt idx="80">
                  <c:v>94.705882352941188</c:v>
                </c:pt>
                <c:pt idx="81">
                  <c:v>95.882352941176478</c:v>
                </c:pt>
                <c:pt idx="82">
                  <c:v>97.058823529411768</c:v>
                </c:pt>
                <c:pt idx="83">
                  <c:v>98.235294117647072</c:v>
                </c:pt>
                <c:pt idx="84">
                  <c:v>99.411764705882362</c:v>
                </c:pt>
              </c:numCache>
            </c:numRef>
          </c:xVal>
          <c:yVal>
            <c:numRef>
              <c:f>ПакетАнализаРегрессия!$G$25:$G$109</c:f>
              <c:numCache>
                <c:formatCode>General</c:formatCode>
                <c:ptCount val="85"/>
                <c:pt idx="0">
                  <c:v>11.1</c:v>
                </c:pt>
                <c:pt idx="1">
                  <c:v>42.5</c:v>
                </c:pt>
                <c:pt idx="2">
                  <c:v>46.7</c:v>
                </c:pt>
                <c:pt idx="3">
                  <c:v>49.2</c:v>
                </c:pt>
                <c:pt idx="4">
                  <c:v>49.4</c:v>
                </c:pt>
                <c:pt idx="5">
                  <c:v>52.5</c:v>
                </c:pt>
                <c:pt idx="6">
                  <c:v>53.9</c:v>
                </c:pt>
                <c:pt idx="7">
                  <c:v>54.2</c:v>
                </c:pt>
                <c:pt idx="8">
                  <c:v>65.5</c:v>
                </c:pt>
                <c:pt idx="9">
                  <c:v>65.599999999999994</c:v>
                </c:pt>
                <c:pt idx="10">
                  <c:v>65.7</c:v>
                </c:pt>
                <c:pt idx="11">
                  <c:v>66.7</c:v>
                </c:pt>
                <c:pt idx="12">
                  <c:v>67.099999999999994</c:v>
                </c:pt>
                <c:pt idx="13">
                  <c:v>73.8</c:v>
                </c:pt>
                <c:pt idx="14">
                  <c:v>74.2</c:v>
                </c:pt>
                <c:pt idx="15">
                  <c:v>76.599999999999994</c:v>
                </c:pt>
                <c:pt idx="16">
                  <c:v>77</c:v>
                </c:pt>
                <c:pt idx="17">
                  <c:v>77.400000000000006</c:v>
                </c:pt>
                <c:pt idx="18">
                  <c:v>81.599999999999994</c:v>
                </c:pt>
                <c:pt idx="19">
                  <c:v>82.2</c:v>
                </c:pt>
                <c:pt idx="20">
                  <c:v>82.5</c:v>
                </c:pt>
                <c:pt idx="21">
                  <c:v>82.9</c:v>
                </c:pt>
                <c:pt idx="22">
                  <c:v>83.8</c:v>
                </c:pt>
                <c:pt idx="23">
                  <c:v>85.3</c:v>
                </c:pt>
                <c:pt idx="24">
                  <c:v>85.8</c:v>
                </c:pt>
                <c:pt idx="25">
                  <c:v>86.3</c:v>
                </c:pt>
                <c:pt idx="26">
                  <c:v>87.2</c:v>
                </c:pt>
                <c:pt idx="27">
                  <c:v>88.1</c:v>
                </c:pt>
                <c:pt idx="28">
                  <c:v>88.9</c:v>
                </c:pt>
                <c:pt idx="29">
                  <c:v>89.3</c:v>
                </c:pt>
                <c:pt idx="30">
                  <c:v>89.6</c:v>
                </c:pt>
                <c:pt idx="31">
                  <c:v>89.9</c:v>
                </c:pt>
                <c:pt idx="32">
                  <c:v>92.7</c:v>
                </c:pt>
                <c:pt idx="33">
                  <c:v>93</c:v>
                </c:pt>
                <c:pt idx="34">
                  <c:v>95.1</c:v>
                </c:pt>
                <c:pt idx="35">
                  <c:v>95.1</c:v>
                </c:pt>
                <c:pt idx="36">
                  <c:v>95.5</c:v>
                </c:pt>
                <c:pt idx="37">
                  <c:v>96.7</c:v>
                </c:pt>
                <c:pt idx="38">
                  <c:v>97</c:v>
                </c:pt>
                <c:pt idx="39">
                  <c:v>97.9</c:v>
                </c:pt>
                <c:pt idx="40">
                  <c:v>98.4</c:v>
                </c:pt>
                <c:pt idx="41">
                  <c:v>99.1</c:v>
                </c:pt>
                <c:pt idx="42">
                  <c:v>104.1</c:v>
                </c:pt>
                <c:pt idx="43">
                  <c:v>104.4</c:v>
                </c:pt>
                <c:pt idx="44">
                  <c:v>104.8</c:v>
                </c:pt>
                <c:pt idx="45">
                  <c:v>105.4</c:v>
                </c:pt>
                <c:pt idx="46">
                  <c:v>107.1</c:v>
                </c:pt>
                <c:pt idx="47">
                  <c:v>108.4</c:v>
                </c:pt>
                <c:pt idx="48">
                  <c:v>108.6</c:v>
                </c:pt>
                <c:pt idx="49">
                  <c:v>109.1</c:v>
                </c:pt>
                <c:pt idx="50">
                  <c:v>109.6</c:v>
                </c:pt>
                <c:pt idx="51">
                  <c:v>110.7</c:v>
                </c:pt>
                <c:pt idx="52">
                  <c:v>111.1</c:v>
                </c:pt>
                <c:pt idx="53">
                  <c:v>111.7</c:v>
                </c:pt>
                <c:pt idx="54">
                  <c:v>112.8</c:v>
                </c:pt>
                <c:pt idx="55">
                  <c:v>113.7</c:v>
                </c:pt>
                <c:pt idx="56">
                  <c:v>114.5</c:v>
                </c:pt>
                <c:pt idx="57">
                  <c:v>115.5</c:v>
                </c:pt>
                <c:pt idx="58">
                  <c:v>116.4</c:v>
                </c:pt>
                <c:pt idx="59">
                  <c:v>116.8</c:v>
                </c:pt>
                <c:pt idx="60">
                  <c:v>117</c:v>
                </c:pt>
                <c:pt idx="61">
                  <c:v>118.1</c:v>
                </c:pt>
                <c:pt idx="62">
                  <c:v>120.3</c:v>
                </c:pt>
                <c:pt idx="63">
                  <c:v>120.5</c:v>
                </c:pt>
                <c:pt idx="64">
                  <c:v>122.4</c:v>
                </c:pt>
                <c:pt idx="65">
                  <c:v>122.8</c:v>
                </c:pt>
                <c:pt idx="66">
                  <c:v>122.9</c:v>
                </c:pt>
                <c:pt idx="67">
                  <c:v>123.1</c:v>
                </c:pt>
                <c:pt idx="68">
                  <c:v>123.1</c:v>
                </c:pt>
                <c:pt idx="69">
                  <c:v>124.1</c:v>
                </c:pt>
                <c:pt idx="70">
                  <c:v>125.8</c:v>
                </c:pt>
                <c:pt idx="71">
                  <c:v>127.1</c:v>
                </c:pt>
                <c:pt idx="72">
                  <c:v>131.5</c:v>
                </c:pt>
                <c:pt idx="73">
                  <c:v>133.30000000000001</c:v>
                </c:pt>
                <c:pt idx="74">
                  <c:v>141.69999999999999</c:v>
                </c:pt>
                <c:pt idx="75">
                  <c:v>143.19999999999999</c:v>
                </c:pt>
                <c:pt idx="76">
                  <c:v>148.5</c:v>
                </c:pt>
                <c:pt idx="77">
                  <c:v>160.4</c:v>
                </c:pt>
                <c:pt idx="78">
                  <c:v>166.4</c:v>
                </c:pt>
                <c:pt idx="79">
                  <c:v>166.8</c:v>
                </c:pt>
                <c:pt idx="80">
                  <c:v>171.2</c:v>
                </c:pt>
                <c:pt idx="81">
                  <c:v>176.8</c:v>
                </c:pt>
                <c:pt idx="82">
                  <c:v>188.8</c:v>
                </c:pt>
                <c:pt idx="83">
                  <c:v>219.4</c:v>
                </c:pt>
                <c:pt idx="84">
                  <c:v>265.10000000000002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79A-4FE5-8294-14AC6DA95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930360"/>
        <c:axId val="440935456"/>
      </c:scatterChart>
      <c:valAx>
        <c:axId val="440930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Персентиль выборки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40935456"/>
        <c:crosses val="autoZero"/>
        <c:crossBetween val="midCat"/>
      </c:valAx>
      <c:valAx>
        <c:axId val="440935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ДТП с пострадавшими на 100 тыс. ед. автотранспорта в январе-июне 2024 г.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40930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Линия</a:t>
            </a:r>
            <a:r>
              <a:rPr lang="ru-RU" baseline="0"/>
              <a:t> тренда</a:t>
            </a:r>
          </a:p>
        </c:rich>
      </c:tx>
      <c:layout>
        <c:manualLayout>
          <c:xMode val="edge"/>
          <c:yMode val="edge"/>
          <c:x val="0.1260901137357830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ВспомогательнаяКСводной!$E$2</c:f>
              <c:strCache>
                <c:ptCount val="1"/>
                <c:pt idx="0">
                  <c:v>Плотность автомобильных дорог общего пользования с твердым покрытием, километров дорог на 1000 км² территории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7963912373361193E-2"/>
                  <c:y val="-7.71826886125215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ВспомогательнаяКСводной!$D$3:$D$87</c:f>
              <c:numCache>
                <c:formatCode>General</c:formatCode>
                <c:ptCount val="85"/>
                <c:pt idx="0">
                  <c:v>166.8</c:v>
                </c:pt>
                <c:pt idx="1">
                  <c:v>123.1</c:v>
                </c:pt>
                <c:pt idx="2">
                  <c:v>97.9</c:v>
                </c:pt>
                <c:pt idx="3">
                  <c:v>87.2</c:v>
                </c:pt>
                <c:pt idx="4">
                  <c:v>89.9</c:v>
                </c:pt>
                <c:pt idx="5">
                  <c:v>104.4</c:v>
                </c:pt>
                <c:pt idx="6">
                  <c:v>107.1</c:v>
                </c:pt>
                <c:pt idx="7">
                  <c:v>73.8</c:v>
                </c:pt>
                <c:pt idx="8">
                  <c:v>110.7</c:v>
                </c:pt>
                <c:pt idx="9">
                  <c:v>46.7</c:v>
                </c:pt>
                <c:pt idx="10">
                  <c:v>166.4</c:v>
                </c:pt>
                <c:pt idx="11">
                  <c:v>120.3</c:v>
                </c:pt>
                <c:pt idx="12">
                  <c:v>54.2</c:v>
                </c:pt>
                <c:pt idx="13">
                  <c:v>143.19999999999999</c:v>
                </c:pt>
                <c:pt idx="14">
                  <c:v>74.2</c:v>
                </c:pt>
                <c:pt idx="15">
                  <c:v>65.5</c:v>
                </c:pt>
                <c:pt idx="16">
                  <c:v>141.69999999999999</c:v>
                </c:pt>
                <c:pt idx="17">
                  <c:v>77.400000000000006</c:v>
                </c:pt>
                <c:pt idx="18">
                  <c:v>97</c:v>
                </c:pt>
                <c:pt idx="19">
                  <c:v>104.8</c:v>
                </c:pt>
                <c:pt idx="20">
                  <c:v>114.5</c:v>
                </c:pt>
                <c:pt idx="21">
                  <c:v>112.8</c:v>
                </c:pt>
                <c:pt idx="22">
                  <c:v>88.1</c:v>
                </c:pt>
                <c:pt idx="23">
                  <c:v>95.1</c:v>
                </c:pt>
                <c:pt idx="24">
                  <c:v>67.099999999999994</c:v>
                </c:pt>
                <c:pt idx="25">
                  <c:v>115.5</c:v>
                </c:pt>
                <c:pt idx="26">
                  <c:v>95.5</c:v>
                </c:pt>
                <c:pt idx="27">
                  <c:v>99.1</c:v>
                </c:pt>
                <c:pt idx="28">
                  <c:v>81.599999999999994</c:v>
                </c:pt>
                <c:pt idx="29">
                  <c:v>66.7</c:v>
                </c:pt>
                <c:pt idx="30">
                  <c:v>109.1</c:v>
                </c:pt>
                <c:pt idx="31">
                  <c:v>120.5</c:v>
                </c:pt>
                <c:pt idx="32">
                  <c:v>92.7</c:v>
                </c:pt>
                <c:pt idx="33">
                  <c:v>122.9</c:v>
                </c:pt>
                <c:pt idx="34">
                  <c:v>89.6</c:v>
                </c:pt>
                <c:pt idx="35">
                  <c:v>105.4</c:v>
                </c:pt>
                <c:pt idx="36">
                  <c:v>117</c:v>
                </c:pt>
                <c:pt idx="37">
                  <c:v>93</c:v>
                </c:pt>
                <c:pt idx="38">
                  <c:v>111.1</c:v>
                </c:pt>
                <c:pt idx="39">
                  <c:v>88.9</c:v>
                </c:pt>
                <c:pt idx="40">
                  <c:v>188.8</c:v>
                </c:pt>
                <c:pt idx="41">
                  <c:v>148.5</c:v>
                </c:pt>
                <c:pt idx="42">
                  <c:v>116.8</c:v>
                </c:pt>
                <c:pt idx="43">
                  <c:v>265.10000000000002</c:v>
                </c:pt>
                <c:pt idx="44">
                  <c:v>82.9</c:v>
                </c:pt>
                <c:pt idx="45">
                  <c:v>49.4</c:v>
                </c:pt>
                <c:pt idx="46">
                  <c:v>85.8</c:v>
                </c:pt>
                <c:pt idx="47">
                  <c:v>52.5</c:v>
                </c:pt>
                <c:pt idx="48">
                  <c:v>176.8</c:v>
                </c:pt>
                <c:pt idx="49">
                  <c:v>53.9</c:v>
                </c:pt>
                <c:pt idx="50">
                  <c:v>96.7</c:v>
                </c:pt>
                <c:pt idx="51">
                  <c:v>42.5</c:v>
                </c:pt>
                <c:pt idx="52">
                  <c:v>82.2</c:v>
                </c:pt>
                <c:pt idx="53">
                  <c:v>65.7</c:v>
                </c:pt>
                <c:pt idx="54">
                  <c:v>160.4</c:v>
                </c:pt>
                <c:pt idx="55">
                  <c:v>111.7</c:v>
                </c:pt>
                <c:pt idx="56">
                  <c:v>113.7</c:v>
                </c:pt>
                <c:pt idx="57">
                  <c:v>127.1</c:v>
                </c:pt>
                <c:pt idx="58">
                  <c:v>171.2</c:v>
                </c:pt>
                <c:pt idx="59">
                  <c:v>123.1</c:v>
                </c:pt>
                <c:pt idx="60">
                  <c:v>83.8</c:v>
                </c:pt>
                <c:pt idx="61">
                  <c:v>82.5</c:v>
                </c:pt>
                <c:pt idx="62">
                  <c:v>49.2</c:v>
                </c:pt>
                <c:pt idx="63">
                  <c:v>85.3</c:v>
                </c:pt>
                <c:pt idx="64">
                  <c:v>109.6</c:v>
                </c:pt>
                <c:pt idx="65">
                  <c:v>116.4</c:v>
                </c:pt>
                <c:pt idx="66">
                  <c:v>104.1</c:v>
                </c:pt>
                <c:pt idx="67">
                  <c:v>108.4</c:v>
                </c:pt>
                <c:pt idx="68">
                  <c:v>108.6</c:v>
                </c:pt>
                <c:pt idx="69">
                  <c:v>133.30000000000001</c:v>
                </c:pt>
                <c:pt idx="70">
                  <c:v>122.4</c:v>
                </c:pt>
                <c:pt idx="71">
                  <c:v>86.3</c:v>
                </c:pt>
                <c:pt idx="72">
                  <c:v>95.1</c:v>
                </c:pt>
                <c:pt idx="73">
                  <c:v>122.8</c:v>
                </c:pt>
                <c:pt idx="74">
                  <c:v>124.1</c:v>
                </c:pt>
                <c:pt idx="75">
                  <c:v>77</c:v>
                </c:pt>
                <c:pt idx="76">
                  <c:v>89.3</c:v>
                </c:pt>
                <c:pt idx="77">
                  <c:v>65.599999999999994</c:v>
                </c:pt>
                <c:pt idx="78">
                  <c:v>219.4</c:v>
                </c:pt>
                <c:pt idx="79">
                  <c:v>98.4</c:v>
                </c:pt>
                <c:pt idx="80">
                  <c:v>131.5</c:v>
                </c:pt>
                <c:pt idx="81">
                  <c:v>76.599999999999994</c:v>
                </c:pt>
                <c:pt idx="82">
                  <c:v>125.8</c:v>
                </c:pt>
                <c:pt idx="83">
                  <c:v>118.1</c:v>
                </c:pt>
                <c:pt idx="84">
                  <c:v>11.1</c:v>
                </c:pt>
              </c:numCache>
            </c:numRef>
          </c:xVal>
          <c:yVal>
            <c:numRef>
              <c:f>ВспомогательнаяКСводной!$E$3:$E$87</c:f>
              <c:numCache>
                <c:formatCode>General</c:formatCode>
                <c:ptCount val="85"/>
                <c:pt idx="0">
                  <c:v>37.200000000000003</c:v>
                </c:pt>
                <c:pt idx="1">
                  <c:v>71.2</c:v>
                </c:pt>
                <c:pt idx="2">
                  <c:v>34.9</c:v>
                </c:pt>
                <c:pt idx="3">
                  <c:v>4.4000000000000004</c:v>
                </c:pt>
                <c:pt idx="4">
                  <c:v>5.6</c:v>
                </c:pt>
                <c:pt idx="5">
                  <c:v>93.7</c:v>
                </c:pt>
                <c:pt idx="6">
                  <c:v>4.0999999999999996</c:v>
                </c:pt>
                <c:pt idx="7">
                  <c:v>33.200000000000003</c:v>
                </c:pt>
                <c:pt idx="8">
                  <c:v>12.8</c:v>
                </c:pt>
                <c:pt idx="9">
                  <c:v>1.3</c:v>
                </c:pt>
                <c:pt idx="10">
                  <c:v>115.8</c:v>
                </c:pt>
                <c:pt idx="11">
                  <c:v>314.60000000000002</c:v>
                </c:pt>
                <c:pt idx="12">
                  <c:v>164.6</c:v>
                </c:pt>
                <c:pt idx="13">
                  <c:v>279</c:v>
                </c:pt>
                <c:pt idx="14">
                  <c:v>146.9</c:v>
                </c:pt>
                <c:pt idx="15">
                  <c:v>325.10000000000002</c:v>
                </c:pt>
                <c:pt idx="16">
                  <c:v>226.1</c:v>
                </c:pt>
                <c:pt idx="17">
                  <c:v>305</c:v>
                </c:pt>
                <c:pt idx="18">
                  <c:v>476</c:v>
                </c:pt>
                <c:pt idx="19">
                  <c:v>352.1</c:v>
                </c:pt>
                <c:pt idx="20">
                  <c:v>181.7</c:v>
                </c:pt>
                <c:pt idx="21">
                  <c:v>269.60000000000002</c:v>
                </c:pt>
                <c:pt idx="22">
                  <c:v>262.60000000000002</c:v>
                </c:pt>
                <c:pt idx="23">
                  <c:v>471.7</c:v>
                </c:pt>
                <c:pt idx="24">
                  <c:v>29.6</c:v>
                </c:pt>
                <c:pt idx="25">
                  <c:v>110.7</c:v>
                </c:pt>
                <c:pt idx="26">
                  <c:v>518.9</c:v>
                </c:pt>
                <c:pt idx="27">
                  <c:v>221.7</c:v>
                </c:pt>
                <c:pt idx="28">
                  <c:v>24.2</c:v>
                </c:pt>
                <c:pt idx="29">
                  <c:v>1.9</c:v>
                </c:pt>
                <c:pt idx="30">
                  <c:v>200.8</c:v>
                </c:pt>
                <c:pt idx="31">
                  <c:v>312.60000000000002</c:v>
                </c:pt>
                <c:pt idx="32">
                  <c:v>48.1</c:v>
                </c:pt>
                <c:pt idx="33">
                  <c:v>16.5</c:v>
                </c:pt>
                <c:pt idx="34">
                  <c:v>2542.4</c:v>
                </c:pt>
                <c:pt idx="35">
                  <c:v>199.8</c:v>
                </c:pt>
                <c:pt idx="36">
                  <c:v>33</c:v>
                </c:pt>
                <c:pt idx="37">
                  <c:v>183.1</c:v>
                </c:pt>
                <c:pt idx="38">
                  <c:v>11.7</c:v>
                </c:pt>
                <c:pt idx="39">
                  <c:v>113</c:v>
                </c:pt>
                <c:pt idx="40">
                  <c:v>100.2</c:v>
                </c:pt>
                <c:pt idx="41">
                  <c:v>49.9</c:v>
                </c:pt>
                <c:pt idx="42">
                  <c:v>27.3</c:v>
                </c:pt>
                <c:pt idx="43">
                  <c:v>22.2</c:v>
                </c:pt>
                <c:pt idx="44">
                  <c:v>94.6</c:v>
                </c:pt>
                <c:pt idx="45">
                  <c:v>25.6</c:v>
                </c:pt>
                <c:pt idx="46">
                  <c:v>136.80000000000001</c:v>
                </c:pt>
                <c:pt idx="47">
                  <c:v>129.80000000000001</c:v>
                </c:pt>
                <c:pt idx="48">
                  <c:v>93.2</c:v>
                </c:pt>
                <c:pt idx="49">
                  <c:v>11.7</c:v>
                </c:pt>
                <c:pt idx="50">
                  <c:v>248.6</c:v>
                </c:pt>
                <c:pt idx="51">
                  <c:v>3.7</c:v>
                </c:pt>
                <c:pt idx="52">
                  <c:v>732</c:v>
                </c:pt>
                <c:pt idx="53">
                  <c:v>331.2</c:v>
                </c:pt>
                <c:pt idx="54">
                  <c:v>394.2</c:v>
                </c:pt>
                <c:pt idx="55">
                  <c:v>429.3</c:v>
                </c:pt>
                <c:pt idx="56">
                  <c:v>338.4</c:v>
                </c:pt>
                <c:pt idx="57">
                  <c:v>365.4</c:v>
                </c:pt>
                <c:pt idx="58">
                  <c:v>139.30000000000001</c:v>
                </c:pt>
                <c:pt idx="59">
                  <c:v>384.3</c:v>
                </c:pt>
                <c:pt idx="60">
                  <c:v>567.4</c:v>
                </c:pt>
                <c:pt idx="61">
                  <c:v>2521.6</c:v>
                </c:pt>
                <c:pt idx="62">
                  <c:v>848.8</c:v>
                </c:pt>
                <c:pt idx="63">
                  <c:v>409.4</c:v>
                </c:pt>
                <c:pt idx="64">
                  <c:v>284.8</c:v>
                </c:pt>
                <c:pt idx="65">
                  <c:v>336.6</c:v>
                </c:pt>
                <c:pt idx="66">
                  <c:v>299.2</c:v>
                </c:pt>
                <c:pt idx="67">
                  <c:v>257.5</c:v>
                </c:pt>
                <c:pt idx="68">
                  <c:v>413.1</c:v>
                </c:pt>
                <c:pt idx="69">
                  <c:v>287.10000000000002</c:v>
                </c:pt>
                <c:pt idx="70">
                  <c:v>84.8</c:v>
                </c:pt>
                <c:pt idx="71">
                  <c:v>153.4</c:v>
                </c:pt>
                <c:pt idx="72">
                  <c:v>665.7</c:v>
                </c:pt>
                <c:pt idx="73">
                  <c:v>363.3</c:v>
                </c:pt>
                <c:pt idx="74">
                  <c:v>481</c:v>
                </c:pt>
                <c:pt idx="75">
                  <c:v>578.79999999999995</c:v>
                </c:pt>
                <c:pt idx="76">
                  <c:v>477.5</c:v>
                </c:pt>
                <c:pt idx="77">
                  <c:v>1024.5</c:v>
                </c:pt>
                <c:pt idx="78">
                  <c:v>51.3</c:v>
                </c:pt>
                <c:pt idx="79">
                  <c:v>511.7</c:v>
                </c:pt>
                <c:pt idx="80">
                  <c:v>716.9</c:v>
                </c:pt>
                <c:pt idx="81">
                  <c:v>272.8</c:v>
                </c:pt>
                <c:pt idx="82">
                  <c:v>1213.5</c:v>
                </c:pt>
                <c:pt idx="83">
                  <c:v>280.7</c:v>
                </c:pt>
                <c:pt idx="84">
                  <c:v>651.70000000000005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BF1-4462-AAA7-A6D8B0F27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484736"/>
        <c:axId val="540487480"/>
      </c:scatterChart>
      <c:valAx>
        <c:axId val="54048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0487480"/>
        <c:crosses val="autoZero"/>
        <c:crossBetween val="midCat"/>
      </c:valAx>
      <c:valAx>
        <c:axId val="540487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048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ВспомогательнаяКСводной!$E$3:$E$87</c:f>
              <c:numCache>
                <c:formatCode>General</c:formatCode>
                <c:ptCount val="85"/>
                <c:pt idx="0">
                  <c:v>37.200000000000003</c:v>
                </c:pt>
                <c:pt idx="1">
                  <c:v>71.2</c:v>
                </c:pt>
                <c:pt idx="2">
                  <c:v>34.9</c:v>
                </c:pt>
                <c:pt idx="3">
                  <c:v>4.4000000000000004</c:v>
                </c:pt>
                <c:pt idx="4">
                  <c:v>5.6</c:v>
                </c:pt>
                <c:pt idx="5">
                  <c:v>93.7</c:v>
                </c:pt>
                <c:pt idx="6">
                  <c:v>4.0999999999999996</c:v>
                </c:pt>
                <c:pt idx="7">
                  <c:v>33.200000000000003</c:v>
                </c:pt>
                <c:pt idx="8">
                  <c:v>12.8</c:v>
                </c:pt>
                <c:pt idx="9">
                  <c:v>1.3</c:v>
                </c:pt>
                <c:pt idx="10">
                  <c:v>115.8</c:v>
                </c:pt>
                <c:pt idx="11">
                  <c:v>314.60000000000002</c:v>
                </c:pt>
                <c:pt idx="12">
                  <c:v>164.6</c:v>
                </c:pt>
                <c:pt idx="13">
                  <c:v>279</c:v>
                </c:pt>
                <c:pt idx="14">
                  <c:v>146.9</c:v>
                </c:pt>
                <c:pt idx="15">
                  <c:v>325.10000000000002</c:v>
                </c:pt>
                <c:pt idx="16">
                  <c:v>226.1</c:v>
                </c:pt>
                <c:pt idx="17">
                  <c:v>305</c:v>
                </c:pt>
                <c:pt idx="18">
                  <c:v>476</c:v>
                </c:pt>
                <c:pt idx="19">
                  <c:v>352.1</c:v>
                </c:pt>
                <c:pt idx="20">
                  <c:v>181.7</c:v>
                </c:pt>
                <c:pt idx="21">
                  <c:v>269.60000000000002</c:v>
                </c:pt>
                <c:pt idx="22">
                  <c:v>262.60000000000002</c:v>
                </c:pt>
                <c:pt idx="23">
                  <c:v>471.7</c:v>
                </c:pt>
                <c:pt idx="24">
                  <c:v>29.6</c:v>
                </c:pt>
                <c:pt idx="25">
                  <c:v>110.7</c:v>
                </c:pt>
                <c:pt idx="26">
                  <c:v>518.9</c:v>
                </c:pt>
                <c:pt idx="27">
                  <c:v>221.7</c:v>
                </c:pt>
                <c:pt idx="28">
                  <c:v>24.2</c:v>
                </c:pt>
                <c:pt idx="29">
                  <c:v>1.9</c:v>
                </c:pt>
                <c:pt idx="30">
                  <c:v>200.8</c:v>
                </c:pt>
                <c:pt idx="31">
                  <c:v>312.60000000000002</c:v>
                </c:pt>
                <c:pt idx="32">
                  <c:v>48.1</c:v>
                </c:pt>
                <c:pt idx="33">
                  <c:v>16.5</c:v>
                </c:pt>
                <c:pt idx="34">
                  <c:v>2542.4</c:v>
                </c:pt>
                <c:pt idx="35">
                  <c:v>199.8</c:v>
                </c:pt>
                <c:pt idx="36">
                  <c:v>33</c:v>
                </c:pt>
                <c:pt idx="37">
                  <c:v>183.1</c:v>
                </c:pt>
                <c:pt idx="38">
                  <c:v>11.7</c:v>
                </c:pt>
                <c:pt idx="39">
                  <c:v>113</c:v>
                </c:pt>
                <c:pt idx="40">
                  <c:v>100.2</c:v>
                </c:pt>
                <c:pt idx="41">
                  <c:v>49.9</c:v>
                </c:pt>
                <c:pt idx="42">
                  <c:v>27.3</c:v>
                </c:pt>
                <c:pt idx="43">
                  <c:v>22.2</c:v>
                </c:pt>
                <c:pt idx="44">
                  <c:v>94.6</c:v>
                </c:pt>
                <c:pt idx="45">
                  <c:v>25.6</c:v>
                </c:pt>
                <c:pt idx="46">
                  <c:v>136.80000000000001</c:v>
                </c:pt>
                <c:pt idx="47">
                  <c:v>129.80000000000001</c:v>
                </c:pt>
                <c:pt idx="48">
                  <c:v>93.2</c:v>
                </c:pt>
                <c:pt idx="49">
                  <c:v>11.7</c:v>
                </c:pt>
                <c:pt idx="50">
                  <c:v>248.6</c:v>
                </c:pt>
                <c:pt idx="51">
                  <c:v>3.7</c:v>
                </c:pt>
                <c:pt idx="52">
                  <c:v>732</c:v>
                </c:pt>
                <c:pt idx="53">
                  <c:v>331.2</c:v>
                </c:pt>
                <c:pt idx="54">
                  <c:v>394.2</c:v>
                </c:pt>
                <c:pt idx="55">
                  <c:v>429.3</c:v>
                </c:pt>
                <c:pt idx="56">
                  <c:v>338.4</c:v>
                </c:pt>
                <c:pt idx="57">
                  <c:v>365.4</c:v>
                </c:pt>
                <c:pt idx="58">
                  <c:v>139.30000000000001</c:v>
                </c:pt>
                <c:pt idx="59">
                  <c:v>384.3</c:v>
                </c:pt>
                <c:pt idx="60">
                  <c:v>567.4</c:v>
                </c:pt>
                <c:pt idx="61">
                  <c:v>2521.6</c:v>
                </c:pt>
                <c:pt idx="62">
                  <c:v>848.8</c:v>
                </c:pt>
                <c:pt idx="63">
                  <c:v>409.4</c:v>
                </c:pt>
                <c:pt idx="64">
                  <c:v>284.8</c:v>
                </c:pt>
                <c:pt idx="65">
                  <c:v>336.6</c:v>
                </c:pt>
                <c:pt idx="66">
                  <c:v>299.2</c:v>
                </c:pt>
                <c:pt idx="67">
                  <c:v>257.5</c:v>
                </c:pt>
                <c:pt idx="68">
                  <c:v>413.1</c:v>
                </c:pt>
                <c:pt idx="69">
                  <c:v>287.10000000000002</c:v>
                </c:pt>
                <c:pt idx="70">
                  <c:v>84.8</c:v>
                </c:pt>
                <c:pt idx="71">
                  <c:v>153.4</c:v>
                </c:pt>
                <c:pt idx="72">
                  <c:v>665.7</c:v>
                </c:pt>
                <c:pt idx="73">
                  <c:v>363.3</c:v>
                </c:pt>
                <c:pt idx="74">
                  <c:v>481</c:v>
                </c:pt>
                <c:pt idx="75">
                  <c:v>578.79999999999995</c:v>
                </c:pt>
                <c:pt idx="76">
                  <c:v>477.5</c:v>
                </c:pt>
                <c:pt idx="77">
                  <c:v>1024.5</c:v>
                </c:pt>
                <c:pt idx="78">
                  <c:v>51.3</c:v>
                </c:pt>
                <c:pt idx="79">
                  <c:v>511.7</c:v>
                </c:pt>
                <c:pt idx="80">
                  <c:v>716.9</c:v>
                </c:pt>
                <c:pt idx="81">
                  <c:v>272.8</c:v>
                </c:pt>
                <c:pt idx="82">
                  <c:v>1213.5</c:v>
                </c:pt>
                <c:pt idx="83">
                  <c:v>280.7</c:v>
                </c:pt>
                <c:pt idx="84">
                  <c:v>651.70000000000005</c:v>
                </c:pt>
              </c:numCache>
            </c:numRef>
          </c:xVal>
          <c:yVal>
            <c:numRef>
              <c:f>ВспомогательнаяКСводной!$D$3:$D$87</c:f>
              <c:numCache>
                <c:formatCode>General</c:formatCode>
                <c:ptCount val="85"/>
                <c:pt idx="0">
                  <c:v>166.8</c:v>
                </c:pt>
                <c:pt idx="1">
                  <c:v>123.1</c:v>
                </c:pt>
                <c:pt idx="2">
                  <c:v>97.9</c:v>
                </c:pt>
                <c:pt idx="3">
                  <c:v>87.2</c:v>
                </c:pt>
                <c:pt idx="4">
                  <c:v>89.9</c:v>
                </c:pt>
                <c:pt idx="5">
                  <c:v>104.4</c:v>
                </c:pt>
                <c:pt idx="6">
                  <c:v>107.1</c:v>
                </c:pt>
                <c:pt idx="7">
                  <c:v>73.8</c:v>
                </c:pt>
                <c:pt idx="8">
                  <c:v>110.7</c:v>
                </c:pt>
                <c:pt idx="9">
                  <c:v>46.7</c:v>
                </c:pt>
                <c:pt idx="10">
                  <c:v>166.4</c:v>
                </c:pt>
                <c:pt idx="11">
                  <c:v>120.3</c:v>
                </c:pt>
                <c:pt idx="12">
                  <c:v>54.2</c:v>
                </c:pt>
                <c:pt idx="13">
                  <c:v>143.19999999999999</c:v>
                </c:pt>
                <c:pt idx="14">
                  <c:v>74.2</c:v>
                </c:pt>
                <c:pt idx="15">
                  <c:v>65.5</c:v>
                </c:pt>
                <c:pt idx="16">
                  <c:v>141.69999999999999</c:v>
                </c:pt>
                <c:pt idx="17">
                  <c:v>77.400000000000006</c:v>
                </c:pt>
                <c:pt idx="18">
                  <c:v>97</c:v>
                </c:pt>
                <c:pt idx="19">
                  <c:v>104.8</c:v>
                </c:pt>
                <c:pt idx="20">
                  <c:v>114.5</c:v>
                </c:pt>
                <c:pt idx="21">
                  <c:v>112.8</c:v>
                </c:pt>
                <c:pt idx="22">
                  <c:v>88.1</c:v>
                </c:pt>
                <c:pt idx="23">
                  <c:v>95.1</c:v>
                </c:pt>
                <c:pt idx="24">
                  <c:v>67.099999999999994</c:v>
                </c:pt>
                <c:pt idx="25">
                  <c:v>115.5</c:v>
                </c:pt>
                <c:pt idx="26">
                  <c:v>95.5</c:v>
                </c:pt>
                <c:pt idx="27">
                  <c:v>99.1</c:v>
                </c:pt>
                <c:pt idx="28">
                  <c:v>81.599999999999994</c:v>
                </c:pt>
                <c:pt idx="29">
                  <c:v>66.7</c:v>
                </c:pt>
                <c:pt idx="30">
                  <c:v>109.1</c:v>
                </c:pt>
                <c:pt idx="31">
                  <c:v>120.5</c:v>
                </c:pt>
                <c:pt idx="32">
                  <c:v>92.7</c:v>
                </c:pt>
                <c:pt idx="33">
                  <c:v>122.9</c:v>
                </c:pt>
                <c:pt idx="34">
                  <c:v>89.6</c:v>
                </c:pt>
                <c:pt idx="35">
                  <c:v>105.4</c:v>
                </c:pt>
                <c:pt idx="36">
                  <c:v>117</c:v>
                </c:pt>
                <c:pt idx="37">
                  <c:v>93</c:v>
                </c:pt>
                <c:pt idx="38">
                  <c:v>111.1</c:v>
                </c:pt>
                <c:pt idx="39">
                  <c:v>88.9</c:v>
                </c:pt>
                <c:pt idx="40">
                  <c:v>188.8</c:v>
                </c:pt>
                <c:pt idx="41">
                  <c:v>148.5</c:v>
                </c:pt>
                <c:pt idx="42">
                  <c:v>116.8</c:v>
                </c:pt>
                <c:pt idx="43">
                  <c:v>265.10000000000002</c:v>
                </c:pt>
                <c:pt idx="44">
                  <c:v>82.9</c:v>
                </c:pt>
                <c:pt idx="45">
                  <c:v>49.4</c:v>
                </c:pt>
                <c:pt idx="46">
                  <c:v>85.8</c:v>
                </c:pt>
                <c:pt idx="47">
                  <c:v>52.5</c:v>
                </c:pt>
                <c:pt idx="48">
                  <c:v>176.8</c:v>
                </c:pt>
                <c:pt idx="49">
                  <c:v>53.9</c:v>
                </c:pt>
                <c:pt idx="50">
                  <c:v>96.7</c:v>
                </c:pt>
                <c:pt idx="51">
                  <c:v>42.5</c:v>
                </c:pt>
                <c:pt idx="52">
                  <c:v>82.2</c:v>
                </c:pt>
                <c:pt idx="53">
                  <c:v>65.7</c:v>
                </c:pt>
                <c:pt idx="54">
                  <c:v>160.4</c:v>
                </c:pt>
                <c:pt idx="55">
                  <c:v>111.7</c:v>
                </c:pt>
                <c:pt idx="56">
                  <c:v>113.7</c:v>
                </c:pt>
                <c:pt idx="57">
                  <c:v>127.1</c:v>
                </c:pt>
                <c:pt idx="58">
                  <c:v>171.2</c:v>
                </c:pt>
                <c:pt idx="59">
                  <c:v>123.1</c:v>
                </c:pt>
                <c:pt idx="60">
                  <c:v>83.8</c:v>
                </c:pt>
                <c:pt idx="61">
                  <c:v>82.5</c:v>
                </c:pt>
                <c:pt idx="62">
                  <c:v>49.2</c:v>
                </c:pt>
                <c:pt idx="63">
                  <c:v>85.3</c:v>
                </c:pt>
                <c:pt idx="64">
                  <c:v>109.6</c:v>
                </c:pt>
                <c:pt idx="65">
                  <c:v>116.4</c:v>
                </c:pt>
                <c:pt idx="66">
                  <c:v>104.1</c:v>
                </c:pt>
                <c:pt idx="67">
                  <c:v>108.4</c:v>
                </c:pt>
                <c:pt idx="68">
                  <c:v>108.6</c:v>
                </c:pt>
                <c:pt idx="69">
                  <c:v>133.30000000000001</c:v>
                </c:pt>
                <c:pt idx="70">
                  <c:v>122.4</c:v>
                </c:pt>
                <c:pt idx="71">
                  <c:v>86.3</c:v>
                </c:pt>
                <c:pt idx="72">
                  <c:v>95.1</c:v>
                </c:pt>
                <c:pt idx="73">
                  <c:v>122.8</c:v>
                </c:pt>
                <c:pt idx="74">
                  <c:v>124.1</c:v>
                </c:pt>
                <c:pt idx="75">
                  <c:v>77</c:v>
                </c:pt>
                <c:pt idx="76">
                  <c:v>89.3</c:v>
                </c:pt>
                <c:pt idx="77">
                  <c:v>65.599999999999994</c:v>
                </c:pt>
                <c:pt idx="78">
                  <c:v>219.4</c:v>
                </c:pt>
                <c:pt idx="79">
                  <c:v>98.4</c:v>
                </c:pt>
                <c:pt idx="80">
                  <c:v>131.5</c:v>
                </c:pt>
                <c:pt idx="81">
                  <c:v>76.599999999999994</c:v>
                </c:pt>
                <c:pt idx="82">
                  <c:v>125.8</c:v>
                </c:pt>
                <c:pt idx="83">
                  <c:v>118.1</c:v>
                </c:pt>
                <c:pt idx="84">
                  <c:v>11.1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113-4290-A95C-4BB706430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489440"/>
        <c:axId val="540485912"/>
      </c:scatterChart>
      <c:valAx>
        <c:axId val="54048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0485912"/>
        <c:crosses val="autoZero"/>
        <c:crossBetween val="midCat"/>
      </c:valAx>
      <c:valAx>
        <c:axId val="54048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048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9</xdr:row>
      <xdr:rowOff>45143</xdr:rowOff>
    </xdr:from>
    <xdr:to>
      <xdr:col>1</xdr:col>
      <xdr:colOff>3442607</xdr:colOff>
      <xdr:row>26</xdr:row>
      <xdr:rowOff>149679</xdr:rowOff>
    </xdr:to>
    <xdr:graphicFrame macro="">
      <xdr:nvGraphicFramePr>
        <xdr:cNvPr id="13" name="Диаграмма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39</xdr:row>
      <xdr:rowOff>152399</xdr:rowOff>
    </xdr:from>
    <xdr:to>
      <xdr:col>1</xdr:col>
      <xdr:colOff>3782786</xdr:colOff>
      <xdr:row>59</xdr:row>
      <xdr:rowOff>81642</xdr:rowOff>
    </xdr:to>
    <xdr:graphicFrame macro="">
      <xdr:nvGraphicFramePr>
        <xdr:cNvPr id="14" name="Диаграмма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72</xdr:row>
      <xdr:rowOff>81643</xdr:rowOff>
    </xdr:from>
    <xdr:to>
      <xdr:col>1</xdr:col>
      <xdr:colOff>861391</xdr:colOff>
      <xdr:row>90</xdr:row>
      <xdr:rowOff>8283</xdr:rowOff>
    </xdr:to>
    <xdr:graphicFrame macro="">
      <xdr:nvGraphicFramePr>
        <xdr:cNvPr id="15" name="Диаграмма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136071</xdr:colOff>
      <xdr:row>105</xdr:row>
      <xdr:rowOff>70756</xdr:rowOff>
    </xdr:from>
    <xdr:to>
      <xdr:col>1</xdr:col>
      <xdr:colOff>3578678</xdr:colOff>
      <xdr:row>125</xdr:row>
      <xdr:rowOff>108857</xdr:rowOff>
    </xdr:to>
    <xdr:graphicFrame macro="">
      <xdr:nvGraphicFramePr>
        <xdr:cNvPr id="16" name="Диаграмма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273326</xdr:colOff>
      <xdr:row>140</xdr:row>
      <xdr:rowOff>149087</xdr:rowOff>
    </xdr:from>
    <xdr:to>
      <xdr:col>1</xdr:col>
      <xdr:colOff>1921565</xdr:colOff>
      <xdr:row>152</xdr:row>
      <xdr:rowOff>132521</xdr:rowOff>
    </xdr:to>
    <xdr:graphicFrame macro="">
      <xdr:nvGraphicFramePr>
        <xdr:cNvPr id="17" name="Диаграмма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</xdr:colOff>
      <xdr:row>164</xdr:row>
      <xdr:rowOff>57150</xdr:rowOff>
    </xdr:from>
    <xdr:to>
      <xdr:col>1</xdr:col>
      <xdr:colOff>3347357</xdr:colOff>
      <xdr:row>184</xdr:row>
      <xdr:rowOff>122463</xdr:rowOff>
    </xdr:to>
    <xdr:graphicFrame macro="">
      <xdr:nvGraphicFramePr>
        <xdr:cNvPr id="18" name="Диаграмма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27213</xdr:colOff>
      <xdr:row>196</xdr:row>
      <xdr:rowOff>68036</xdr:rowOff>
    </xdr:from>
    <xdr:to>
      <xdr:col>2</xdr:col>
      <xdr:colOff>1888435</xdr:colOff>
      <xdr:row>209</xdr:row>
      <xdr:rowOff>133350</xdr:rowOff>
    </xdr:to>
    <xdr:graphicFrame macro="">
      <xdr:nvGraphicFramePr>
        <xdr:cNvPr id="19" name="Диаграмма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122463</xdr:colOff>
      <xdr:row>220</xdr:row>
      <xdr:rowOff>166007</xdr:rowOff>
    </xdr:from>
    <xdr:to>
      <xdr:col>2</xdr:col>
      <xdr:colOff>2360544</xdr:colOff>
      <xdr:row>236</xdr:row>
      <xdr:rowOff>33130</xdr:rowOff>
    </xdr:to>
    <xdr:graphicFrame macro="">
      <xdr:nvGraphicFramePr>
        <xdr:cNvPr id="20" name="Диаграмма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16566</xdr:colOff>
      <xdr:row>263</xdr:row>
      <xdr:rowOff>60701</xdr:rowOff>
    </xdr:from>
    <xdr:to>
      <xdr:col>3</xdr:col>
      <xdr:colOff>662610</xdr:colOff>
      <xdr:row>279</xdr:row>
      <xdr:rowOff>149088</xdr:rowOff>
    </xdr:to>
    <xdr:graphicFrame macro="">
      <xdr:nvGraphicFramePr>
        <xdr:cNvPr id="21" name="Диаграмма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517070</xdr:colOff>
      <xdr:row>296</xdr:row>
      <xdr:rowOff>16328</xdr:rowOff>
    </xdr:from>
    <xdr:to>
      <xdr:col>3</xdr:col>
      <xdr:colOff>66261</xdr:colOff>
      <xdr:row>308</xdr:row>
      <xdr:rowOff>182217</xdr:rowOff>
    </xdr:to>
    <xdr:graphicFrame macro="">
      <xdr:nvGraphicFramePr>
        <xdr:cNvPr id="22" name="Диаграмма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237830</xdr:colOff>
      <xdr:row>329</xdr:row>
      <xdr:rowOff>66616</xdr:rowOff>
    </xdr:from>
    <xdr:to>
      <xdr:col>3</xdr:col>
      <xdr:colOff>637761</xdr:colOff>
      <xdr:row>347</xdr:row>
      <xdr:rowOff>182218</xdr:rowOff>
    </xdr:to>
    <xdr:graphicFrame macro="">
      <xdr:nvGraphicFramePr>
        <xdr:cNvPr id="23" name="Диаграмма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378</xdr:row>
      <xdr:rowOff>107437</xdr:rowOff>
    </xdr:from>
    <xdr:to>
      <xdr:col>3</xdr:col>
      <xdr:colOff>1018761</xdr:colOff>
      <xdr:row>397</xdr:row>
      <xdr:rowOff>8283</xdr:rowOff>
    </xdr:to>
    <xdr:graphicFrame macro="">
      <xdr:nvGraphicFramePr>
        <xdr:cNvPr id="24" name="Диаграмма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680357</xdr:colOff>
      <xdr:row>44</xdr:row>
      <xdr:rowOff>29936</xdr:rowOff>
    </xdr:from>
    <xdr:to>
      <xdr:col>1</xdr:col>
      <xdr:colOff>4327071</xdr:colOff>
      <xdr:row>58</xdr:row>
      <xdr:rowOff>106136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384682</xdr:colOff>
      <xdr:row>10</xdr:row>
      <xdr:rowOff>93972</xdr:rowOff>
    </xdr:from>
    <xdr:to>
      <xdr:col>1</xdr:col>
      <xdr:colOff>3312939</xdr:colOff>
      <xdr:row>27</xdr:row>
      <xdr:rowOff>104857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321128</xdr:colOff>
      <xdr:row>70</xdr:row>
      <xdr:rowOff>43543</xdr:rowOff>
    </xdr:from>
    <xdr:to>
      <xdr:col>1</xdr:col>
      <xdr:colOff>4997824</xdr:colOff>
      <xdr:row>87</xdr:row>
      <xdr:rowOff>168088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957303</xdr:colOff>
      <xdr:row>105</xdr:row>
      <xdr:rowOff>12007</xdr:rowOff>
    </xdr:from>
    <xdr:to>
      <xdr:col>2</xdr:col>
      <xdr:colOff>172170</xdr:colOff>
      <xdr:row>122</xdr:row>
      <xdr:rowOff>12006</xdr:rowOff>
    </xdr:to>
    <xdr:graphicFrame macro="">
      <xdr:nvGraphicFramePr>
        <xdr:cNvPr id="11" name="Диаграмма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133</xdr:row>
      <xdr:rowOff>189219</xdr:rowOff>
    </xdr:from>
    <xdr:to>
      <xdr:col>1</xdr:col>
      <xdr:colOff>3905250</xdr:colOff>
      <xdr:row>151</xdr:row>
      <xdr:rowOff>186497</xdr:rowOff>
    </xdr:to>
    <xdr:graphicFrame macro="">
      <xdr:nvGraphicFramePr>
        <xdr:cNvPr id="12" name="Диаграмма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884464</xdr:colOff>
      <xdr:row>165</xdr:row>
      <xdr:rowOff>152400</xdr:rowOff>
    </xdr:from>
    <xdr:to>
      <xdr:col>1</xdr:col>
      <xdr:colOff>5578929</xdr:colOff>
      <xdr:row>186</xdr:row>
      <xdr:rowOff>149678</xdr:rowOff>
    </xdr:to>
    <xdr:graphicFrame macro="">
      <xdr:nvGraphicFramePr>
        <xdr:cNvPr id="13" name="Диаграмма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184219</xdr:colOff>
      <xdr:row>26</xdr:row>
      <xdr:rowOff>156587</xdr:rowOff>
    </xdr:from>
    <xdr:to>
      <xdr:col>4</xdr:col>
      <xdr:colOff>161192</xdr:colOff>
      <xdr:row>41</xdr:row>
      <xdr:rowOff>73688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58615</xdr:colOff>
      <xdr:row>47</xdr:row>
      <xdr:rowOff>62384</xdr:rowOff>
    </xdr:from>
    <xdr:to>
      <xdr:col>4</xdr:col>
      <xdr:colOff>35588</xdr:colOff>
      <xdr:row>61</xdr:row>
      <xdr:rowOff>167891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37681</xdr:colOff>
      <xdr:row>65</xdr:row>
      <xdr:rowOff>135652</xdr:rowOff>
    </xdr:from>
    <xdr:to>
      <xdr:col>4</xdr:col>
      <xdr:colOff>14654</xdr:colOff>
      <xdr:row>80</xdr:row>
      <xdr:rowOff>52753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0</xdr:row>
      <xdr:rowOff>114300</xdr:rowOff>
    </xdr:from>
    <xdr:to>
      <xdr:col>18</xdr:col>
      <xdr:colOff>371475</xdr:colOff>
      <xdr:row>22</xdr:row>
      <xdr:rowOff>85725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323850</xdr:colOff>
      <xdr:row>27</xdr:row>
      <xdr:rowOff>171450</xdr:rowOff>
    </xdr:from>
    <xdr:to>
      <xdr:col>19</xdr:col>
      <xdr:colOff>228600</xdr:colOff>
      <xdr:row>52</xdr:row>
      <xdr:rowOff>104775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590550</xdr:colOff>
      <xdr:row>52</xdr:row>
      <xdr:rowOff>66675</xdr:rowOff>
    </xdr:from>
    <xdr:to>
      <xdr:col>17</xdr:col>
      <xdr:colOff>590550</xdr:colOff>
      <xdr:row>62</xdr:row>
      <xdr:rowOff>95250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609599</xdr:colOff>
      <xdr:row>2</xdr:row>
      <xdr:rowOff>1</xdr:rowOff>
    </xdr:from>
    <xdr:to>
      <xdr:col>5</xdr:col>
      <xdr:colOff>523875</xdr:colOff>
      <xdr:row>16</xdr:row>
      <xdr:rowOff>123825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238125</xdr:colOff>
      <xdr:row>6</xdr:row>
      <xdr:rowOff>128587</xdr:rowOff>
    </xdr:from>
    <xdr:to>
      <xdr:col>13</xdr:col>
      <xdr:colOff>542925</xdr:colOff>
      <xdr:row>20</xdr:row>
      <xdr:rowOff>204787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Date="0" createdVersion="3" recordCount="85">
  <cacheSource type="worksheet">
    <worksheetSource ref="B2:E87" sheet="ВспомогательнаяКСводной"/>
  </cacheSource>
  <cacheFields count="4">
    <cacheField name="К какому Федеральному округу принадлежит" numFmtId="0">
      <sharedItems count="7">
        <s v="Дальневосточный федеральный округ"/>
        <s v="Приволжский федеральный округ"/>
        <s v="Северо-Западный федеральный округ"/>
        <s v="Сибирский федеральный округ"/>
        <s v="Уральский федеральный округ"/>
        <s v="Центральный федеральный округ"/>
        <s v="Южный федеральный округ"/>
      </sharedItems>
    </cacheField>
    <cacheField name="единица наблюдения, регион" numFmtId="0">
      <sharedItems count="85">
        <s v="Алтайский край"/>
        <s v="Амурская область"/>
        <s v="Архангельская область"/>
        <s v="Астраханская область"/>
        <s v="Белгородская область"/>
        <s v="Брянская область"/>
        <s v="Владимирская область"/>
        <s v="Волгоградская область"/>
        <s v="Вологодская область"/>
        <s v="Воронежская область"/>
        <s v="Еврейская автономная область"/>
        <s v="Забайкальский край"/>
        <s v="Ивановская область"/>
        <s v="Иркутская область"/>
        <s v="Кабардино-Балкарская Республика"/>
        <s v="Калининградская область"/>
        <s v="Калужская область"/>
        <s v="Камчатский край"/>
        <s v="Карачаево-Черкесская Республика"/>
        <s v="Кемеровская область"/>
        <s v="Кировская область"/>
        <s v="Костромская область"/>
        <s v="Краснодарский край"/>
        <s v="Красноярский край"/>
        <s v="Курганская область"/>
        <s v="Курская область"/>
        <s v="Ленинградская область"/>
        <s v="Липецкая область"/>
        <s v="Магаданская область"/>
        <s v="Москва"/>
        <s v="Московская область"/>
        <s v="Мурманская область"/>
        <s v="Ненецкий автономный округ"/>
        <s v="Нижегородская область"/>
        <s v="Новгородская область"/>
        <s v="Новосибирская область"/>
        <s v="Омская область"/>
        <s v="Оренбургская область"/>
        <s v="Орловская область"/>
        <s v="Пензенская область"/>
        <s v="Пермский край"/>
        <s v="Приморский край"/>
        <s v="Псковская область"/>
        <s v="Республика Адыгея"/>
        <s v="Республика Алтай"/>
        <s v="Республика Башкортостан"/>
        <s v="Республика Бурятия"/>
        <s v="Республика Дагестан"/>
        <s v="Республика Ингушетия"/>
        <s v="Республика Калмыкия"/>
        <s v="Республика Карелия"/>
        <s v="Республика Коми"/>
        <s v="Республика Крым"/>
        <s v="Республика Марий Эл"/>
        <s v="Республика Мордовия"/>
        <s v="Республика Саха (Якутия)"/>
        <s v="Республика Северная Осетия — Алания"/>
        <s v="Республика Татарстан"/>
        <s v="Республика Тыва"/>
        <s v="Республика Хакасия"/>
        <s v="Ростовская область"/>
        <s v="Рязанская область"/>
        <s v="Самарская область"/>
        <s v="Санкт-Петербург"/>
        <s v="Саратовская область"/>
        <s v="Сахалинская область"/>
        <s v="Свердловская область"/>
        <s v="Севастополь"/>
        <s v="Смоленская область"/>
        <s v="Ставропольский край"/>
        <s v="Тамбовская область"/>
        <s v="Тверская область"/>
        <s v="Томская область"/>
        <s v="Тульская область"/>
        <s v="Тюменская область"/>
        <s v="Удмуртская Республика"/>
        <s v="Ульяновская область"/>
        <s v="Хабаровский край"/>
        <s v="Ханты-Мансийский автономный округ — Югра"/>
        <s v="Челябинская область"/>
        <s v="Чеченская Республика"/>
        <s v="Чувашская Республика"/>
        <s v="Чукотский автономный округ"/>
        <s v="Ямало-Ненецкий автономный округ"/>
        <s v="Ярославская область"/>
      </sharedItems>
    </cacheField>
    <cacheField name="Количество ДТП с пострадавшими на 100 тыс. ед. автотранспорта в январе-июне 2024 г." numFmtId="0">
      <sharedItems containsSemiMixedTypes="0" containsString="0" containsNumber="1" minValue="11.1" maxValue="265.10000000000002" count="83">
        <n v="11.1"/>
        <n v="42.5"/>
        <n v="46.7"/>
        <n v="49.2"/>
        <n v="49.4"/>
        <n v="52.5"/>
        <n v="53.9"/>
        <n v="54.2"/>
        <n v="65.5"/>
        <n v="65.599999999999994"/>
        <n v="65.7"/>
        <n v="66.7"/>
        <n v="67.099999999999994"/>
        <n v="73.8"/>
        <n v="74.2"/>
        <n v="76.599999999999994"/>
        <n v="77"/>
        <n v="77.400000000000006"/>
        <n v="81.599999999999994"/>
        <n v="82.2"/>
        <n v="82.5"/>
        <n v="82.9"/>
        <n v="83.8"/>
        <n v="85.3"/>
        <n v="85.8"/>
        <n v="86.3"/>
        <n v="87.2"/>
        <n v="88.1"/>
        <n v="88.9"/>
        <n v="89.3"/>
        <n v="89.6"/>
        <n v="89.9"/>
        <n v="92.7"/>
        <n v="93"/>
        <n v="95.1"/>
        <n v="95.5"/>
        <n v="96.7"/>
        <n v="97"/>
        <n v="97.9"/>
        <n v="98.4"/>
        <n v="99.1"/>
        <n v="104.1"/>
        <n v="104.4"/>
        <n v="104.8"/>
        <n v="105.4"/>
        <n v="107.1"/>
        <n v="108.4"/>
        <n v="108.6"/>
        <n v="109.1"/>
        <n v="109.6"/>
        <n v="110.7"/>
        <n v="111.1"/>
        <n v="111.7"/>
        <n v="112.8"/>
        <n v="113.7"/>
        <n v="114.5"/>
        <n v="115.5"/>
        <n v="116.4"/>
        <n v="116.8"/>
        <n v="117"/>
        <n v="118.1"/>
        <n v="120.3"/>
        <n v="120.5"/>
        <n v="122.4"/>
        <n v="122.8"/>
        <n v="122.9"/>
        <n v="123.1"/>
        <n v="124.1"/>
        <n v="125.8"/>
        <n v="127.1"/>
        <n v="131.5"/>
        <n v="133.30000000000001"/>
        <n v="141.69999999999999"/>
        <n v="143.19999999999999"/>
        <n v="148.5"/>
        <n v="160.4"/>
        <n v="166.4"/>
        <n v="166.8"/>
        <n v="171.2"/>
        <n v="176.8"/>
        <n v="188.8"/>
        <n v="219.4"/>
        <n v="265.10000000000002"/>
      </sharedItems>
      <fieldGroup base="2">
        <rangePr startNum="11.1" endNum="265.10000000000002" groupInterval="40"/>
        <groupItems count="9">
          <s v="&lt;11,1"/>
          <s v="11,1-51,1"/>
          <s v="51,1-91,1"/>
          <s v="91,1-131,1"/>
          <s v="131,1-171,1"/>
          <s v="171,1-211,1"/>
          <s v="211,1-251,1"/>
          <s v="251,1-291,1"/>
          <s v="&gt;291,1"/>
        </groupItems>
      </fieldGroup>
    </cacheField>
    <cacheField name="Плотность автомобильных дорог общего пользования с твердым покрытием, километров дорог на 1000 км² территории" numFmtId="0">
      <sharedItems containsSemiMixedTypes="0" containsString="0" containsNumber="1" minValue="1.3" maxValue="2542.4" count="84">
        <n v="1.3"/>
        <n v="1.9"/>
        <n v="3.7"/>
        <n v="4.0999999999999996"/>
        <n v="4.4000000000000004"/>
        <n v="5.6"/>
        <n v="11.7"/>
        <n v="12.8"/>
        <n v="16.5"/>
        <n v="22.2"/>
        <n v="24.2"/>
        <n v="25.6"/>
        <n v="27.3"/>
        <n v="29.6"/>
        <n v="33"/>
        <n v="33.200000000000003"/>
        <n v="34.9"/>
        <n v="37.200000000000003"/>
        <n v="48.1"/>
        <n v="49.9"/>
        <n v="51.3"/>
        <n v="71.2"/>
        <n v="84.8"/>
        <n v="93.2"/>
        <n v="93.7"/>
        <n v="94.6"/>
        <n v="100.2"/>
        <n v="110.7"/>
        <n v="113"/>
        <n v="115.8"/>
        <n v="129.80000000000001"/>
        <n v="136.80000000000001"/>
        <n v="139.30000000000001"/>
        <n v="146.9"/>
        <n v="153.4"/>
        <n v="164.6"/>
        <n v="181.7"/>
        <n v="183.1"/>
        <n v="199.8"/>
        <n v="200.8"/>
        <n v="221.7"/>
        <n v="226.1"/>
        <n v="248.6"/>
        <n v="257.5"/>
        <n v="262.60000000000002"/>
        <n v="269.60000000000002"/>
        <n v="272.8"/>
        <n v="279"/>
        <n v="280.7"/>
        <n v="284.8"/>
        <n v="287.10000000000002"/>
        <n v="299.2"/>
        <n v="305"/>
        <n v="312.60000000000002"/>
        <n v="314.60000000000002"/>
        <n v="325.10000000000002"/>
        <n v="331.2"/>
        <n v="336.6"/>
        <n v="338.4"/>
        <n v="352.1"/>
        <n v="363.3"/>
        <n v="365.4"/>
        <n v="384.3"/>
        <n v="394.2"/>
        <n v="409.4"/>
        <n v="413.1"/>
        <n v="429.3"/>
        <n v="471.7"/>
        <n v="476"/>
        <n v="477.5"/>
        <n v="481"/>
        <n v="511.7"/>
        <n v="518.9"/>
        <n v="567.4"/>
        <n v="578.79999999999995"/>
        <n v="651.70000000000005"/>
        <n v="665.7"/>
        <n v="716.9"/>
        <n v="732"/>
        <n v="848.8"/>
        <n v="1024.5"/>
        <n v="1213.5"/>
        <n v="2521.6"/>
        <n v="2542.4"/>
      </sharedItems>
      <fieldGroup base="3">
        <rangePr startNum="1.3" endNum="2542.4" groupInterval="200"/>
        <groupItems count="15">
          <s v="&lt;1,3"/>
          <s v="1,3-201,3"/>
          <s v="201,3-401,3"/>
          <s v="401,3-601,3"/>
          <s v="601,3-801,3"/>
          <s v="801,3-1001,3"/>
          <s v="1001,3-1201,3"/>
          <s v="1201,3-1401,3"/>
          <s v="1401,3-1601,3"/>
          <s v="1601,3-1801,3"/>
          <s v="1801,3-2001,3"/>
          <s v="2001,3-2201,3"/>
          <s v="2201,3-2401,3"/>
          <s v="2401,3-2601,3"/>
          <s v="&gt;2601,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tudent" refreshedDate="45630.66833576389" createdVersion="6" refreshedVersion="6" minRefreshableVersion="3" recordCount="85">
  <cacheSource type="worksheet">
    <worksheetSource ref="B2:E87" sheet="Таблица с одним кач и двумя кол"/>
  </cacheSource>
  <cacheFields count="4">
    <cacheField name="Регион" numFmtId="0">
      <sharedItems count="85">
        <s v="Ярославская область"/>
        <s v="Ямало-Ненецкий автономный округ"/>
        <s v="Чукотский автономный округ"/>
        <s v="Чувашская Республика"/>
        <s v="Чеченская Республика"/>
        <s v="Челябинская область"/>
        <s v="Ханты-Мансийский автономный округ — Югра"/>
        <s v="Хабаровский край"/>
        <s v="Ульяновская область"/>
        <s v="Удмуртская Республика"/>
        <s v="Тюменская область"/>
        <s v="Тульская область"/>
        <s v="Томская область"/>
        <s v="Тверская область"/>
        <s v="Тамбовская область"/>
        <s v="Ставропольский край"/>
        <s v="Смоленская область"/>
        <s v="Севастополь"/>
        <s v="Свердловская область"/>
        <s v="Сахалинская область"/>
        <s v="Саратовская область"/>
        <s v="Санкт-Петербург"/>
        <s v="Самарская область"/>
        <s v="Рязанская область"/>
        <s v="Ростовская область"/>
        <s v="Республика Хакасия"/>
        <s v="Республика Тыва"/>
        <s v="Республика Татарстан"/>
        <s v="Республика Северная Осетия — Алания"/>
        <s v="Республика Саха (Якутия)"/>
        <s v="Республика Мордовия"/>
        <s v="Республика Марий Эл"/>
        <s v="Республика Крым"/>
        <s v="Республика Коми"/>
        <s v="Республика Карелия"/>
        <s v="Республика Калмыкия"/>
        <s v="Республика Ингушетия"/>
        <s v="Республика Дагестан"/>
        <s v="Республика Бурятия"/>
        <s v="Республика Башкортостан"/>
        <s v="Республика Алтай"/>
        <s v="Республика Адыгея"/>
        <s v="Псковская область"/>
        <s v="Приморский край"/>
        <s v="Пермский край"/>
        <s v="Пензенская область"/>
        <s v="Орловская область"/>
        <s v="Оренбургская область"/>
        <s v="Омская область"/>
        <s v="Новосибирская область"/>
        <s v="Новгородская область"/>
        <s v="Нижегородская область"/>
        <s v="Ненецкий автономный округ"/>
        <s v="Мурманская область"/>
        <s v="Московская область"/>
        <s v="Москва"/>
        <s v="Магаданская область"/>
        <s v="Липецкая область"/>
        <s v="Ленинградская область"/>
        <s v="Курская область"/>
        <s v="Курганская область"/>
        <s v="Красноярский край"/>
        <s v="Краснодарский край"/>
        <s v="Костромская область"/>
        <s v="Кировская область"/>
        <s v="Кемеровская область"/>
        <s v="Карачаево-Черкесская Республика"/>
        <s v="Камчатский край"/>
        <s v="Калужская область"/>
        <s v="Калининградская область"/>
        <s v="Кабардино-Балкарская Республика"/>
        <s v="Иркутская область"/>
        <s v="Ивановская область"/>
        <s v="Забайкальский край"/>
        <s v="Еврейская автономная область"/>
        <s v="Воронежская область"/>
        <s v="Вологодская область"/>
        <s v="Волгоградская область"/>
        <s v="Владимирская область"/>
        <s v="Брянская область"/>
        <s v="Белгородская область"/>
        <s v="Астраханская область"/>
        <s v="Архангельская область"/>
        <s v="Амурская область"/>
        <s v="Алтайский край"/>
      </sharedItems>
    </cacheField>
    <cacheField name="Количество ДТП с пострадавшими на 100 тыс. ед. автотранспорта в январе-июне 2024 г." numFmtId="0">
      <sharedItems containsSemiMixedTypes="0" containsString="0" containsNumber="1" minValue="11.1" maxValue="265.10000000000002" count="83">
        <n v="133.30000000000001"/>
        <n v="42.5"/>
        <n v="46.7"/>
        <n v="95.1"/>
        <n v="11.1"/>
        <n v="96.7"/>
        <n v="53.9"/>
        <n v="110.7"/>
        <n v="88.1"/>
        <n v="112.8"/>
        <n v="176.8"/>
        <n v="108.6"/>
        <n v="49.4"/>
        <n v="108.4"/>
        <n v="104.1"/>
        <n v="118.1"/>
        <n v="116.4"/>
        <n v="125.8"/>
        <n v="52.5"/>
        <n v="73.8"/>
        <n v="114.5"/>
        <n v="89.6"/>
        <n v="104.8"/>
        <n v="109.6"/>
        <n v="76.599999999999994"/>
        <n v="82.9"/>
        <n v="265.10000000000002"/>
        <n v="97"/>
        <n v="131.5"/>
        <n v="107.1"/>
        <n v="77.400000000000006"/>
        <n v="141.69999999999999"/>
        <n v="98.4"/>
        <n v="122.9"/>
        <n v="92.7"/>
        <n v="219.4"/>
        <n v="65.599999999999994"/>
        <n v="89.3"/>
        <n v="116.8"/>
        <n v="65.5"/>
        <n v="148.5"/>
        <n v="77"/>
        <n v="120.5"/>
        <n v="104.4"/>
        <n v="74.2"/>
        <n v="143.19999999999999"/>
        <n v="85.3"/>
        <n v="54.2"/>
        <n v="188.8"/>
        <n v="88.9"/>
        <n v="109.1"/>
        <n v="120.3"/>
        <n v="66.7"/>
        <n v="81.599999999999994"/>
        <n v="49.2"/>
        <n v="82.5"/>
        <n v="89.9"/>
        <n v="83.8"/>
        <n v="99.1"/>
        <n v="123.1"/>
        <n v="85.8"/>
        <n v="111.1"/>
        <n v="124.1"/>
        <n v="171.2"/>
        <n v="166.4"/>
        <n v="93"/>
        <n v="122.8"/>
        <n v="87.2"/>
        <n v="127.1"/>
        <n v="95.5"/>
        <n v="117"/>
        <n v="113.7"/>
        <n v="97.9"/>
        <n v="111.7"/>
        <n v="115.5"/>
        <n v="86.3"/>
        <n v="160.4"/>
        <n v="65.7"/>
        <n v="82.2"/>
        <n v="122.4"/>
        <n v="67.099999999999994"/>
        <n v="166.8"/>
        <n v="105.4"/>
      </sharedItems>
    </cacheField>
    <cacheField name="Плотность автомобильных дорог общего пользования с твердым покрытием, километров дорог на 1000 км² территории" numFmtId="0">
      <sharedItems containsSemiMixedTypes="0" containsString="0" containsNumber="1" minValue="1.3" maxValue="2542.4" count="84">
        <n v="287.10000000000002"/>
        <n v="3.7"/>
        <n v="1.3"/>
        <n v="471.7"/>
        <n v="651.70000000000005"/>
        <n v="248.6"/>
        <n v="11.7"/>
        <n v="12.8"/>
        <n v="262.60000000000002"/>
        <n v="269.60000000000002"/>
        <n v="93.2"/>
        <n v="413.1"/>
        <n v="25.6"/>
        <n v="257.5"/>
        <n v="299.2"/>
        <n v="280.7"/>
        <n v="336.6"/>
        <n v="1213.5"/>
        <n v="129.80000000000001"/>
        <n v="33.200000000000003"/>
        <n v="181.7"/>
        <n v="2542.4"/>
        <n v="352.1"/>
        <n v="284.8"/>
        <n v="272.8"/>
        <n v="94.6"/>
        <n v="22.2"/>
        <n v="476"/>
        <n v="716.9"/>
        <n v="4.0999999999999996"/>
        <n v="305"/>
        <n v="226.1"/>
        <n v="511.7"/>
        <n v="16.5"/>
        <n v="48.1"/>
        <n v="51.3"/>
        <n v="1024.5"/>
        <n v="477.5"/>
        <n v="27.3"/>
        <n v="325.10000000000002"/>
        <n v="49.9"/>
        <n v="578.79999999999995"/>
        <n v="312.60000000000002"/>
        <n v="93.7"/>
        <n v="146.9"/>
        <n v="279"/>
        <n v="409.4"/>
        <n v="164.6"/>
        <n v="100.2"/>
        <n v="113"/>
        <n v="200.8"/>
        <n v="314.60000000000002"/>
        <n v="1.9"/>
        <n v="24.2"/>
        <n v="848.8"/>
        <n v="2521.6"/>
        <n v="5.6"/>
        <n v="567.4"/>
        <n v="221.7"/>
        <n v="384.3"/>
        <n v="136.80000000000001"/>
        <n v="481"/>
        <n v="139.30000000000001"/>
        <n v="115.8"/>
        <n v="183.1"/>
        <n v="363.3"/>
        <n v="4.4000000000000004"/>
        <n v="365.4"/>
        <n v="518.9"/>
        <n v="665.7"/>
        <n v="33"/>
        <n v="338.4"/>
        <n v="34.9"/>
        <n v="71.2"/>
        <n v="429.3"/>
        <n v="110.7"/>
        <n v="153.4"/>
        <n v="394.2"/>
        <n v="331.2"/>
        <n v="732"/>
        <n v="84.8"/>
        <n v="29.6"/>
        <n v="37.200000000000003"/>
        <n v="199.8"/>
      </sharedItems>
    </cacheField>
    <cacheField name="К какому Федеральному округу принадлежит" numFmtId="0">
      <sharedItems count="7">
        <s v="Центральный федеральный округ"/>
        <s v="Уральский федеральный округ"/>
        <s v="Дальневосточный федеральный округ"/>
        <s v="Приволжский федеральный округ"/>
        <s v="Южный федеральный округ"/>
        <s v="Сибирский федеральный округ"/>
        <s v="Северо-Западный федеральный округ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">
  <r>
    <x v="0"/>
    <x v="1"/>
    <x v="77"/>
    <x v="17"/>
  </r>
  <r>
    <x v="0"/>
    <x v="10"/>
    <x v="66"/>
    <x v="21"/>
  </r>
  <r>
    <x v="0"/>
    <x v="11"/>
    <x v="38"/>
    <x v="16"/>
  </r>
  <r>
    <x v="0"/>
    <x v="17"/>
    <x v="26"/>
    <x v="4"/>
  </r>
  <r>
    <x v="0"/>
    <x v="28"/>
    <x v="31"/>
    <x v="5"/>
  </r>
  <r>
    <x v="0"/>
    <x v="41"/>
    <x v="42"/>
    <x v="24"/>
  </r>
  <r>
    <x v="0"/>
    <x v="55"/>
    <x v="45"/>
    <x v="3"/>
  </r>
  <r>
    <x v="0"/>
    <x v="65"/>
    <x v="13"/>
    <x v="15"/>
  </r>
  <r>
    <x v="0"/>
    <x v="77"/>
    <x v="50"/>
    <x v="7"/>
  </r>
  <r>
    <x v="0"/>
    <x v="82"/>
    <x v="2"/>
    <x v="0"/>
  </r>
  <r>
    <x v="1"/>
    <x v="20"/>
    <x v="76"/>
    <x v="29"/>
  </r>
  <r>
    <x v="1"/>
    <x v="33"/>
    <x v="61"/>
    <x v="54"/>
  </r>
  <r>
    <x v="1"/>
    <x v="37"/>
    <x v="7"/>
    <x v="35"/>
  </r>
  <r>
    <x v="1"/>
    <x v="39"/>
    <x v="73"/>
    <x v="47"/>
  </r>
  <r>
    <x v="1"/>
    <x v="40"/>
    <x v="14"/>
    <x v="33"/>
  </r>
  <r>
    <x v="1"/>
    <x v="45"/>
    <x v="8"/>
    <x v="55"/>
  </r>
  <r>
    <x v="1"/>
    <x v="53"/>
    <x v="72"/>
    <x v="41"/>
  </r>
  <r>
    <x v="1"/>
    <x v="54"/>
    <x v="17"/>
    <x v="52"/>
  </r>
  <r>
    <x v="1"/>
    <x v="57"/>
    <x v="37"/>
    <x v="68"/>
  </r>
  <r>
    <x v="1"/>
    <x v="62"/>
    <x v="43"/>
    <x v="59"/>
  </r>
  <r>
    <x v="1"/>
    <x v="64"/>
    <x v="55"/>
    <x v="36"/>
  </r>
  <r>
    <x v="1"/>
    <x v="75"/>
    <x v="53"/>
    <x v="45"/>
  </r>
  <r>
    <x v="1"/>
    <x v="76"/>
    <x v="27"/>
    <x v="44"/>
  </r>
  <r>
    <x v="1"/>
    <x v="81"/>
    <x v="34"/>
    <x v="67"/>
  </r>
  <r>
    <x v="2"/>
    <x v="2"/>
    <x v="12"/>
    <x v="13"/>
  </r>
  <r>
    <x v="2"/>
    <x v="8"/>
    <x v="56"/>
    <x v="27"/>
  </r>
  <r>
    <x v="2"/>
    <x v="15"/>
    <x v="35"/>
    <x v="72"/>
  </r>
  <r>
    <x v="2"/>
    <x v="26"/>
    <x v="40"/>
    <x v="40"/>
  </r>
  <r>
    <x v="2"/>
    <x v="31"/>
    <x v="18"/>
    <x v="10"/>
  </r>
  <r>
    <x v="2"/>
    <x v="32"/>
    <x v="11"/>
    <x v="1"/>
  </r>
  <r>
    <x v="2"/>
    <x v="34"/>
    <x v="48"/>
    <x v="39"/>
  </r>
  <r>
    <x v="2"/>
    <x v="42"/>
    <x v="62"/>
    <x v="53"/>
  </r>
  <r>
    <x v="2"/>
    <x v="50"/>
    <x v="32"/>
    <x v="18"/>
  </r>
  <r>
    <x v="2"/>
    <x v="51"/>
    <x v="65"/>
    <x v="8"/>
  </r>
  <r>
    <x v="2"/>
    <x v="63"/>
    <x v="30"/>
    <x v="83"/>
  </r>
  <r>
    <x v="3"/>
    <x v="0"/>
    <x v="44"/>
    <x v="38"/>
  </r>
  <r>
    <x v="3"/>
    <x v="13"/>
    <x v="59"/>
    <x v="14"/>
  </r>
  <r>
    <x v="3"/>
    <x v="19"/>
    <x v="33"/>
    <x v="37"/>
  </r>
  <r>
    <x v="3"/>
    <x v="23"/>
    <x v="51"/>
    <x v="6"/>
  </r>
  <r>
    <x v="3"/>
    <x v="35"/>
    <x v="28"/>
    <x v="28"/>
  </r>
  <r>
    <x v="3"/>
    <x v="36"/>
    <x v="80"/>
    <x v="26"/>
  </r>
  <r>
    <x v="3"/>
    <x v="44"/>
    <x v="74"/>
    <x v="19"/>
  </r>
  <r>
    <x v="3"/>
    <x v="46"/>
    <x v="58"/>
    <x v="12"/>
  </r>
  <r>
    <x v="3"/>
    <x v="58"/>
    <x v="82"/>
    <x v="9"/>
  </r>
  <r>
    <x v="3"/>
    <x v="59"/>
    <x v="21"/>
    <x v="25"/>
  </r>
  <r>
    <x v="3"/>
    <x v="72"/>
    <x v="4"/>
    <x v="11"/>
  </r>
  <r>
    <x v="4"/>
    <x v="24"/>
    <x v="24"/>
    <x v="31"/>
  </r>
  <r>
    <x v="4"/>
    <x v="66"/>
    <x v="5"/>
    <x v="30"/>
  </r>
  <r>
    <x v="4"/>
    <x v="74"/>
    <x v="79"/>
    <x v="23"/>
  </r>
  <r>
    <x v="4"/>
    <x v="78"/>
    <x v="6"/>
    <x v="6"/>
  </r>
  <r>
    <x v="4"/>
    <x v="79"/>
    <x v="36"/>
    <x v="42"/>
  </r>
  <r>
    <x v="4"/>
    <x v="83"/>
    <x v="1"/>
    <x v="2"/>
  </r>
  <r>
    <x v="5"/>
    <x v="4"/>
    <x v="19"/>
    <x v="78"/>
  </r>
  <r>
    <x v="5"/>
    <x v="5"/>
    <x v="10"/>
    <x v="56"/>
  </r>
  <r>
    <x v="5"/>
    <x v="6"/>
    <x v="75"/>
    <x v="63"/>
  </r>
  <r>
    <x v="5"/>
    <x v="9"/>
    <x v="52"/>
    <x v="66"/>
  </r>
  <r>
    <x v="5"/>
    <x v="12"/>
    <x v="54"/>
    <x v="58"/>
  </r>
  <r>
    <x v="5"/>
    <x v="16"/>
    <x v="69"/>
    <x v="61"/>
  </r>
  <r>
    <x v="5"/>
    <x v="21"/>
    <x v="78"/>
    <x v="32"/>
  </r>
  <r>
    <x v="5"/>
    <x v="25"/>
    <x v="66"/>
    <x v="62"/>
  </r>
  <r>
    <x v="5"/>
    <x v="27"/>
    <x v="22"/>
    <x v="73"/>
  </r>
  <r>
    <x v="5"/>
    <x v="29"/>
    <x v="20"/>
    <x v="82"/>
  </r>
  <r>
    <x v="5"/>
    <x v="30"/>
    <x v="3"/>
    <x v="79"/>
  </r>
  <r>
    <x v="5"/>
    <x v="38"/>
    <x v="23"/>
    <x v="64"/>
  </r>
  <r>
    <x v="5"/>
    <x v="61"/>
    <x v="49"/>
    <x v="49"/>
  </r>
  <r>
    <x v="5"/>
    <x v="68"/>
    <x v="57"/>
    <x v="57"/>
  </r>
  <r>
    <x v="5"/>
    <x v="70"/>
    <x v="41"/>
    <x v="51"/>
  </r>
  <r>
    <x v="5"/>
    <x v="71"/>
    <x v="46"/>
    <x v="43"/>
  </r>
  <r>
    <x v="5"/>
    <x v="73"/>
    <x v="47"/>
    <x v="65"/>
  </r>
  <r>
    <x v="5"/>
    <x v="84"/>
    <x v="71"/>
    <x v="50"/>
  </r>
  <r>
    <x v="6"/>
    <x v="3"/>
    <x v="63"/>
    <x v="22"/>
  </r>
  <r>
    <x v="6"/>
    <x v="7"/>
    <x v="25"/>
    <x v="34"/>
  </r>
  <r>
    <x v="6"/>
    <x v="14"/>
    <x v="34"/>
    <x v="76"/>
  </r>
  <r>
    <x v="6"/>
    <x v="18"/>
    <x v="64"/>
    <x v="60"/>
  </r>
  <r>
    <x v="6"/>
    <x v="22"/>
    <x v="67"/>
    <x v="70"/>
  </r>
  <r>
    <x v="6"/>
    <x v="43"/>
    <x v="16"/>
    <x v="74"/>
  </r>
  <r>
    <x v="6"/>
    <x v="47"/>
    <x v="29"/>
    <x v="69"/>
  </r>
  <r>
    <x v="6"/>
    <x v="48"/>
    <x v="9"/>
    <x v="80"/>
  </r>
  <r>
    <x v="6"/>
    <x v="49"/>
    <x v="81"/>
    <x v="20"/>
  </r>
  <r>
    <x v="6"/>
    <x v="52"/>
    <x v="39"/>
    <x v="71"/>
  </r>
  <r>
    <x v="6"/>
    <x v="56"/>
    <x v="70"/>
    <x v="77"/>
  </r>
  <r>
    <x v="6"/>
    <x v="60"/>
    <x v="15"/>
    <x v="46"/>
  </r>
  <r>
    <x v="6"/>
    <x v="67"/>
    <x v="68"/>
    <x v="81"/>
  </r>
  <r>
    <x v="6"/>
    <x v="69"/>
    <x v="60"/>
    <x v="48"/>
  </r>
  <r>
    <x v="6"/>
    <x v="80"/>
    <x v="0"/>
    <x v="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5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5"/>
    <x v="5"/>
    <x v="1"/>
  </r>
  <r>
    <x v="6"/>
    <x v="6"/>
    <x v="6"/>
    <x v="1"/>
  </r>
  <r>
    <x v="7"/>
    <x v="7"/>
    <x v="7"/>
    <x v="2"/>
  </r>
  <r>
    <x v="8"/>
    <x v="8"/>
    <x v="8"/>
    <x v="3"/>
  </r>
  <r>
    <x v="9"/>
    <x v="9"/>
    <x v="9"/>
    <x v="3"/>
  </r>
  <r>
    <x v="10"/>
    <x v="10"/>
    <x v="10"/>
    <x v="1"/>
  </r>
  <r>
    <x v="11"/>
    <x v="11"/>
    <x v="11"/>
    <x v="0"/>
  </r>
  <r>
    <x v="12"/>
    <x v="12"/>
    <x v="12"/>
    <x v="5"/>
  </r>
  <r>
    <x v="13"/>
    <x v="13"/>
    <x v="13"/>
    <x v="0"/>
  </r>
  <r>
    <x v="14"/>
    <x v="14"/>
    <x v="14"/>
    <x v="0"/>
  </r>
  <r>
    <x v="15"/>
    <x v="15"/>
    <x v="15"/>
    <x v="4"/>
  </r>
  <r>
    <x v="16"/>
    <x v="16"/>
    <x v="16"/>
    <x v="0"/>
  </r>
  <r>
    <x v="17"/>
    <x v="17"/>
    <x v="17"/>
    <x v="4"/>
  </r>
  <r>
    <x v="18"/>
    <x v="18"/>
    <x v="18"/>
    <x v="1"/>
  </r>
  <r>
    <x v="19"/>
    <x v="19"/>
    <x v="19"/>
    <x v="2"/>
  </r>
  <r>
    <x v="20"/>
    <x v="20"/>
    <x v="20"/>
    <x v="3"/>
  </r>
  <r>
    <x v="21"/>
    <x v="21"/>
    <x v="21"/>
    <x v="6"/>
  </r>
  <r>
    <x v="22"/>
    <x v="22"/>
    <x v="22"/>
    <x v="3"/>
  </r>
  <r>
    <x v="23"/>
    <x v="23"/>
    <x v="23"/>
    <x v="0"/>
  </r>
  <r>
    <x v="24"/>
    <x v="24"/>
    <x v="24"/>
    <x v="4"/>
  </r>
  <r>
    <x v="25"/>
    <x v="25"/>
    <x v="25"/>
    <x v="5"/>
  </r>
  <r>
    <x v="26"/>
    <x v="26"/>
    <x v="26"/>
    <x v="5"/>
  </r>
  <r>
    <x v="27"/>
    <x v="27"/>
    <x v="27"/>
    <x v="3"/>
  </r>
  <r>
    <x v="28"/>
    <x v="28"/>
    <x v="28"/>
    <x v="4"/>
  </r>
  <r>
    <x v="29"/>
    <x v="29"/>
    <x v="29"/>
    <x v="2"/>
  </r>
  <r>
    <x v="30"/>
    <x v="30"/>
    <x v="30"/>
    <x v="3"/>
  </r>
  <r>
    <x v="31"/>
    <x v="31"/>
    <x v="31"/>
    <x v="3"/>
  </r>
  <r>
    <x v="32"/>
    <x v="32"/>
    <x v="32"/>
    <x v="4"/>
  </r>
  <r>
    <x v="33"/>
    <x v="33"/>
    <x v="33"/>
    <x v="6"/>
  </r>
  <r>
    <x v="34"/>
    <x v="34"/>
    <x v="34"/>
    <x v="6"/>
  </r>
  <r>
    <x v="35"/>
    <x v="35"/>
    <x v="35"/>
    <x v="4"/>
  </r>
  <r>
    <x v="36"/>
    <x v="36"/>
    <x v="36"/>
    <x v="4"/>
  </r>
  <r>
    <x v="37"/>
    <x v="37"/>
    <x v="37"/>
    <x v="4"/>
  </r>
  <r>
    <x v="38"/>
    <x v="38"/>
    <x v="38"/>
    <x v="5"/>
  </r>
  <r>
    <x v="39"/>
    <x v="39"/>
    <x v="39"/>
    <x v="3"/>
  </r>
  <r>
    <x v="40"/>
    <x v="40"/>
    <x v="40"/>
    <x v="5"/>
  </r>
  <r>
    <x v="41"/>
    <x v="41"/>
    <x v="41"/>
    <x v="4"/>
  </r>
  <r>
    <x v="42"/>
    <x v="42"/>
    <x v="42"/>
    <x v="6"/>
  </r>
  <r>
    <x v="43"/>
    <x v="43"/>
    <x v="43"/>
    <x v="2"/>
  </r>
  <r>
    <x v="44"/>
    <x v="44"/>
    <x v="44"/>
    <x v="3"/>
  </r>
  <r>
    <x v="45"/>
    <x v="45"/>
    <x v="45"/>
    <x v="3"/>
  </r>
  <r>
    <x v="46"/>
    <x v="46"/>
    <x v="46"/>
    <x v="0"/>
  </r>
  <r>
    <x v="47"/>
    <x v="47"/>
    <x v="47"/>
    <x v="3"/>
  </r>
  <r>
    <x v="48"/>
    <x v="48"/>
    <x v="48"/>
    <x v="5"/>
  </r>
  <r>
    <x v="49"/>
    <x v="49"/>
    <x v="49"/>
    <x v="5"/>
  </r>
  <r>
    <x v="50"/>
    <x v="50"/>
    <x v="50"/>
    <x v="6"/>
  </r>
  <r>
    <x v="51"/>
    <x v="51"/>
    <x v="51"/>
    <x v="3"/>
  </r>
  <r>
    <x v="52"/>
    <x v="52"/>
    <x v="52"/>
    <x v="6"/>
  </r>
  <r>
    <x v="53"/>
    <x v="53"/>
    <x v="53"/>
    <x v="6"/>
  </r>
  <r>
    <x v="54"/>
    <x v="54"/>
    <x v="54"/>
    <x v="0"/>
  </r>
  <r>
    <x v="55"/>
    <x v="55"/>
    <x v="55"/>
    <x v="0"/>
  </r>
  <r>
    <x v="56"/>
    <x v="56"/>
    <x v="56"/>
    <x v="2"/>
  </r>
  <r>
    <x v="57"/>
    <x v="57"/>
    <x v="57"/>
    <x v="0"/>
  </r>
  <r>
    <x v="58"/>
    <x v="58"/>
    <x v="58"/>
    <x v="6"/>
  </r>
  <r>
    <x v="59"/>
    <x v="59"/>
    <x v="59"/>
    <x v="0"/>
  </r>
  <r>
    <x v="60"/>
    <x v="60"/>
    <x v="60"/>
    <x v="1"/>
  </r>
  <r>
    <x v="61"/>
    <x v="61"/>
    <x v="6"/>
    <x v="5"/>
  </r>
  <r>
    <x v="62"/>
    <x v="62"/>
    <x v="61"/>
    <x v="4"/>
  </r>
  <r>
    <x v="63"/>
    <x v="63"/>
    <x v="62"/>
    <x v="0"/>
  </r>
  <r>
    <x v="64"/>
    <x v="64"/>
    <x v="63"/>
    <x v="3"/>
  </r>
  <r>
    <x v="65"/>
    <x v="65"/>
    <x v="64"/>
    <x v="5"/>
  </r>
  <r>
    <x v="66"/>
    <x v="66"/>
    <x v="65"/>
    <x v="4"/>
  </r>
  <r>
    <x v="67"/>
    <x v="67"/>
    <x v="66"/>
    <x v="2"/>
  </r>
  <r>
    <x v="68"/>
    <x v="68"/>
    <x v="67"/>
    <x v="0"/>
  </r>
  <r>
    <x v="69"/>
    <x v="69"/>
    <x v="68"/>
    <x v="6"/>
  </r>
  <r>
    <x v="70"/>
    <x v="3"/>
    <x v="69"/>
    <x v="4"/>
  </r>
  <r>
    <x v="71"/>
    <x v="70"/>
    <x v="70"/>
    <x v="5"/>
  </r>
  <r>
    <x v="72"/>
    <x v="71"/>
    <x v="71"/>
    <x v="0"/>
  </r>
  <r>
    <x v="73"/>
    <x v="72"/>
    <x v="72"/>
    <x v="2"/>
  </r>
  <r>
    <x v="74"/>
    <x v="59"/>
    <x v="73"/>
    <x v="2"/>
  </r>
  <r>
    <x v="75"/>
    <x v="73"/>
    <x v="74"/>
    <x v="0"/>
  </r>
  <r>
    <x v="76"/>
    <x v="74"/>
    <x v="75"/>
    <x v="6"/>
  </r>
  <r>
    <x v="77"/>
    <x v="75"/>
    <x v="76"/>
    <x v="4"/>
  </r>
  <r>
    <x v="78"/>
    <x v="76"/>
    <x v="77"/>
    <x v="0"/>
  </r>
  <r>
    <x v="79"/>
    <x v="77"/>
    <x v="78"/>
    <x v="0"/>
  </r>
  <r>
    <x v="80"/>
    <x v="78"/>
    <x v="79"/>
    <x v="0"/>
  </r>
  <r>
    <x v="81"/>
    <x v="79"/>
    <x v="80"/>
    <x v="4"/>
  </r>
  <r>
    <x v="82"/>
    <x v="80"/>
    <x v="81"/>
    <x v="6"/>
  </r>
  <r>
    <x v="83"/>
    <x v="81"/>
    <x v="82"/>
    <x v="2"/>
  </r>
  <r>
    <x v="84"/>
    <x v="82"/>
    <x v="8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D11" firstHeaderRow="0" firstDataRow="1" firstDataCol="1"/>
  <pivotFields count="4">
    <pivotField showAll="0"/>
    <pivotField dataField="1" showAll="0"/>
    <pivotField showAll="0"/>
    <pivotField axis="axisRow" showAll="0">
      <items count="8">
        <item x="2"/>
        <item x="3"/>
        <item x="6"/>
        <item x="5"/>
        <item x="1"/>
        <item x="0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ичество по полю Количество ДТП с пострадавшими на 100 тыс. ед. автотранспорта в январе-июне 2024 г." fld="1" subtotal="count" baseField="3" baseItem="0"/>
    <dataField name="Среднее по полю Количество ДТП с пострадавшими на 100 тыс. ед. автотранспорта в январе-июне 2024 г.2" fld="1" subtotal="average" baseField="3" baseItem="0"/>
    <dataField name="Смещенная дисперсия по полю Количество ДТП с пострадавшими на 100 тыс. ед. автотранспорта в январе-июне 2024 г.3" fld="1" subtotal="var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2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D11" firstHeaderRow="0" firstDataRow="1" firstDataCol="1"/>
  <pivotFields count="4">
    <pivotField showAll="0"/>
    <pivotField showAll="0"/>
    <pivotField dataField="1" showAll="0"/>
    <pivotField axis="axisRow" showAll="0">
      <items count="8">
        <item x="2"/>
        <item x="3"/>
        <item x="6"/>
        <item x="5"/>
        <item x="1"/>
        <item x="0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ичество по полю Плотность автомобильных дорог общего пользования с твердым покрытием, километров дорог на 1000 км² территории" fld="2" subtotal="count" baseField="3" baseItem="0"/>
    <dataField name="Среднее по полю Плотность автомобильных дорог общего пользования с твердым покрытием, километров дорог на 1000 км² территории2" fld="2" subtotal="average" baseField="3" baseItem="0"/>
    <dataField name="Смещенная дисперсия по полю Плотность автомобильных дорог общего пользования с твердым покрытием, километров дорог на 1000 км² территории" fld="2" subtotal="var" baseField="3" baseItem="0"/>
  </dataFields>
  <formats count="31">
    <format dxfId="288">
      <pivotArea field="3" type="button" dataOnly="0" labelOnly="1" outline="0" axis="axisRow" fieldPosition="0"/>
    </format>
    <format dxfId="287">
      <pivotArea dataOnly="0" labelOnly="1" outline="0" axis="axisValues" fieldPosition="0"/>
    </format>
    <format dxfId="286">
      <pivotArea dataOnly="0" labelOnly="1" outline="0" axis="axisValues" fieldPosition="0"/>
    </format>
    <format dxfId="285">
      <pivotArea field="3" type="button" dataOnly="0" labelOnly="1" outline="0" axis="axisRow" fieldPosition="0"/>
    </format>
    <format dxfId="284">
      <pivotArea dataOnly="0" labelOnly="1" outline="0" axis="axisValues" fieldPosition="0"/>
    </format>
    <format dxfId="283">
      <pivotArea dataOnly="0" labelOnly="1" outline="0" axis="axisValues" fieldPosition="0"/>
    </format>
    <format dxfId="282">
      <pivotArea field="3" type="button" dataOnly="0" labelOnly="1" outline="0" axis="axisRow" fieldPosition="0"/>
    </format>
    <format dxfId="281">
      <pivotArea dataOnly="0" labelOnly="1" outline="0" axis="axisValues" fieldPosition="0"/>
    </format>
    <format dxfId="280">
      <pivotArea dataOnly="0" labelOnly="1" outline="0" axis="axisValues" fieldPosition="0"/>
    </format>
    <format dxfId="279">
      <pivotArea field="3" type="button" dataOnly="0" labelOnly="1" outline="0" axis="axisRow" fieldPosition="0"/>
    </format>
    <format dxfId="278">
      <pivotArea dataOnly="0" labelOnly="1" outline="0" axis="axisValues" fieldPosition="0"/>
    </format>
    <format dxfId="277">
      <pivotArea dataOnly="0" labelOnly="1" outline="0" axis="axisValues" fieldPosition="0"/>
    </format>
    <format dxfId="276">
      <pivotArea field="3" type="button" dataOnly="0" labelOnly="1" outline="0" axis="axisRow" fieldPosition="0"/>
    </format>
    <format dxfId="275">
      <pivotArea dataOnly="0" labelOnly="1" outline="0" axis="axisValues" fieldPosition="0"/>
    </format>
    <format dxfId="274">
      <pivotArea dataOnly="0" labelOnly="1" outline="0" axis="axisValues" fieldPosition="0"/>
    </format>
    <format dxfId="273">
      <pivotArea field="3" type="button" dataOnly="0" labelOnly="1" outline="0" axis="axisRow" fieldPosition="0"/>
    </format>
    <format dxfId="2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1">
      <pivotArea field="3" type="button" dataOnly="0" labelOnly="1" outline="0" axis="axisRow" fieldPosition="0"/>
    </format>
    <format dxfId="27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9">
      <pivotArea field="3" type="button" dataOnly="0" labelOnly="1" outline="0" axis="axisRow" fieldPosition="0"/>
    </format>
    <format dxfId="26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7">
      <pivotArea field="3" type="button" dataOnly="0" labelOnly="1" outline="0" axis="axisRow" fieldPosition="0"/>
    </format>
    <format dxfId="2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5">
      <pivotArea field="3" type="button" dataOnly="0" labelOnly="1" outline="0" axis="axisRow" fieldPosition="0"/>
    </format>
    <format dxfId="2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3">
      <pivotArea field="3" type="button" dataOnly="0" labelOnly="1" outline="0" axis="axisRow" fieldPosition="0"/>
    </format>
    <format dxfId="2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1">
      <pivotArea field="3" type="button" dataOnly="0" labelOnly="1" outline="0" axis="axisRow" fieldPosition="0"/>
    </format>
    <format dxfId="2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9">
      <pivotArea field="3" type="button" dataOnly="0" labelOnly="1" outline="0" axis="axisRow" fieldPosition="0"/>
    </format>
    <format dxfId="25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22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5" rowHeaderCaption="Группировочный признак (федеральный округ)">
  <location ref="A320:B328" firstHeaderRow="1" firstDataRow="1" firstDataCol="1"/>
  <pivotFields count="4">
    <pivotField showAll="0"/>
    <pivotField showAll="0"/>
    <pivotField dataField="1" showAll="0"/>
    <pivotField axis="axisRow" showAll="0" sortType="descending">
      <items count="8">
        <item x="2"/>
        <item x="3"/>
        <item x="6"/>
        <item x="5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5"/>
    </i>
    <i>
      <x v="1"/>
    </i>
    <i>
      <x v="6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Минимум по полю Плотность автомобильных дорог общего пользования с твердым покрытием, километров дорог на 1000 км² территории" fld="2" subtotal="min" baseField="3" baseItem="3"/>
  </dataFields>
  <formats count="16">
    <format dxfId="90">
      <pivotArea field="3" type="button" dataOnly="0" labelOnly="1" outline="0" axis="axisRow" fieldPosition="0"/>
    </format>
    <format dxfId="89">
      <pivotArea dataOnly="0" labelOnly="1" outline="0" axis="axisValues" fieldPosition="0"/>
    </format>
    <format dxfId="88">
      <pivotArea field="3" type="button" dataOnly="0" labelOnly="1" outline="0" axis="axisRow" fieldPosition="0"/>
    </format>
    <format dxfId="87">
      <pivotArea dataOnly="0" labelOnly="1" outline="0" axis="axisValues" fieldPosition="0"/>
    </format>
    <format dxfId="86">
      <pivotArea field="3" type="button" dataOnly="0" labelOnly="1" outline="0" axis="axisRow" fieldPosition="0"/>
    </format>
    <format dxfId="85">
      <pivotArea dataOnly="0" labelOnly="1" outline="0" axis="axisValues" fieldPosition="0"/>
    </format>
    <format dxfId="84">
      <pivotArea field="3" type="button" dataOnly="0" labelOnly="1" outline="0" axis="axisRow" fieldPosition="0"/>
    </format>
    <format dxfId="83">
      <pivotArea dataOnly="0" labelOnly="1" outline="0" axis="axisValues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3" type="button" dataOnly="0" labelOnly="1" outline="0" axis="axisRow" fieldPosition="0"/>
    </format>
    <format dxfId="79">
      <pivotArea dataOnly="0" labelOnly="1" outline="0" axis="axisValues" fieldPosition="0"/>
    </format>
    <format dxfId="78">
      <pivotArea dataOnly="0" labelOnly="1" fieldPosition="0">
        <references count="1">
          <reference field="3" count="0"/>
        </references>
      </pivotArea>
    </format>
    <format dxfId="77">
      <pivotArea dataOnly="0" labelOnly="1" grandRow="1" outline="0" fieldPosition="0"/>
    </format>
    <format dxfId="76">
      <pivotArea field="3" type="button" dataOnly="0" labelOnly="1" outline="0" axis="axisRow" fieldPosition="0"/>
    </format>
    <format dxfId="7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12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6" rowHeaderCaption="Группировочный признак (федеральный округ)">
  <location ref="A31:B39" firstHeaderRow="1" firstDataRow="1" firstDataCol="1"/>
  <pivotFields count="4">
    <pivotField showAll="0"/>
    <pivotField dataField="1" showAll="0"/>
    <pivotField showAll="0"/>
    <pivotField axis="axisRow" showAll="0" sortType="descending">
      <items count="8">
        <item x="2"/>
        <item x="3"/>
        <item x="6"/>
        <item x="5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2"/>
    </i>
    <i>
      <x v="1"/>
    </i>
    <i>
      <x v="3"/>
    </i>
    <i>
      <x v="5"/>
    </i>
    <i>
      <x/>
    </i>
    <i>
      <x v="4"/>
    </i>
    <i>
      <x v="6"/>
    </i>
    <i t="grand">
      <x/>
    </i>
  </rowItems>
  <colItems count="1">
    <i/>
  </colItems>
  <dataFields count="1">
    <dataField name="Минимум по полю Количество ДТП с пострадавшими на 100 тыс. ед. автотранспорта в январе-июне 2024 г." fld="1" subtotal="min" baseField="3" baseItem="2"/>
  </dataFields>
  <formats count="12"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3" type="button" dataOnly="0" labelOnly="1" outline="0" axis="axisRow" fieldPosition="0"/>
    </format>
    <format dxfId="99">
      <pivotArea dataOnly="0" labelOnly="1" outline="0" axis="axisValues" fieldPosition="0"/>
    </format>
    <format dxfId="98">
      <pivotArea dataOnly="0" labelOnly="1" fieldPosition="0">
        <references count="1">
          <reference field="3" count="0"/>
        </references>
      </pivotArea>
    </format>
    <format dxfId="97">
      <pivotArea dataOnly="0" labelOnly="1" grandRow="1" outline="0" fieldPosition="0"/>
    </format>
    <format dxfId="96">
      <pivotArea field="3" type="button" dataOnly="0" labelOnly="1" outline="0" axis="axisRow" fieldPosition="0"/>
    </format>
    <format dxfId="95">
      <pivotArea dataOnly="0" labelOnly="1" outline="0" axis="axisValues" fieldPosition="0"/>
    </format>
    <format dxfId="94">
      <pivotArea field="3" type="button" dataOnly="0" labelOnly="1" outline="0" axis="axisRow" fieldPosition="0"/>
    </format>
    <format dxfId="93">
      <pivotArea dataOnly="0" labelOnly="1" outline="0" axis="axisValues" fieldPosition="0"/>
    </format>
    <format dxfId="92">
      <pivotArea field="3" type="button" dataOnly="0" labelOnly="1" outline="0" axis="axisRow" fieldPosition="0"/>
    </format>
    <format dxfId="9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 таблица19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1" rowHeaderCaption="Группировочный признак (федеральный округ)">
  <location ref="A213:B221" firstHeaderRow="1" firstDataRow="1" firstDataCol="1"/>
  <pivotFields count="4">
    <pivotField showAll="0"/>
    <pivotField dataField="1" showAll="0"/>
    <pivotField showAll="0"/>
    <pivotField axis="axisRow" showAll="0" sortType="descending">
      <items count="8">
        <item x="2"/>
        <item x="3"/>
        <item x="6"/>
        <item x="5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2"/>
    </i>
    <i>
      <x v="1"/>
    </i>
    <i>
      <x v="3"/>
    </i>
    <i>
      <x v="5"/>
    </i>
    <i>
      <x/>
    </i>
    <i>
      <x v="4"/>
    </i>
    <i>
      <x v="6"/>
    </i>
    <i t="grand">
      <x/>
    </i>
  </rowItems>
  <colItems count="1">
    <i/>
  </colItems>
  <dataFields count="1">
    <dataField name="Минимум по полю Количество ДТП с пострадавшими на 100 тыс. ед. автотранспорта в январе-июне 2024 г." fld="1" subtotal="min" baseField="3" baseItem="2"/>
  </dataFields>
  <formats count="16">
    <format dxfId="118">
      <pivotArea field="3" type="button" dataOnly="0" labelOnly="1" outline="0" axis="axisRow" fieldPosition="0"/>
    </format>
    <format dxfId="117">
      <pivotArea dataOnly="0" labelOnly="1" outline="0" axis="axisValues" fieldPosition="0"/>
    </format>
    <format dxfId="116">
      <pivotArea field="3" type="button" dataOnly="0" labelOnly="1" outline="0" axis="axisRow" fieldPosition="0"/>
    </format>
    <format dxfId="115">
      <pivotArea dataOnly="0" labelOnly="1" outline="0" axis="axisValues" fieldPosition="0"/>
    </format>
    <format dxfId="114">
      <pivotArea field="3" type="button" dataOnly="0" labelOnly="1" outline="0" axis="axisRow" fieldPosition="0"/>
    </format>
    <format dxfId="113">
      <pivotArea dataOnly="0" labelOnly="1" outline="0" axis="axisValues" fieldPosition="0"/>
    </format>
    <format dxfId="112">
      <pivotArea field="3" type="button" dataOnly="0" labelOnly="1" outline="0" axis="axisRow" fieldPosition="0"/>
    </format>
    <format dxfId="111">
      <pivotArea dataOnly="0" labelOnly="1" outline="0" axis="axisValues" fieldPosition="0"/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3" type="button" dataOnly="0" labelOnly="1" outline="0" axis="axisRow" fieldPosition="0"/>
    </format>
    <format dxfId="107">
      <pivotArea dataOnly="0" labelOnly="1" outline="0" axis="axisValues" fieldPosition="0"/>
    </format>
    <format dxfId="106">
      <pivotArea dataOnly="0" labelOnly="1" fieldPosition="0">
        <references count="1">
          <reference field="3" count="0"/>
        </references>
      </pivotArea>
    </format>
    <format dxfId="105">
      <pivotArea dataOnly="0" labelOnly="1" grandRow="1" outline="0" fieldPosition="0"/>
    </format>
    <format dxfId="104">
      <pivotArea field="3" type="button" dataOnly="0" labelOnly="1" outline="0" axis="axisRow" fieldPosition="0"/>
    </format>
    <format dxfId="103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Сводная таблица14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5" rowHeaderCaption="Группировочный признак (федеральный округ)">
  <location ref="A97:B105" firstHeaderRow="1" firstDataRow="1" firstDataCol="1"/>
  <pivotFields count="4">
    <pivotField showAll="0"/>
    <pivotField showAll="0"/>
    <pivotField dataField="1" showAll="0"/>
    <pivotField axis="axisRow" showAll="0" sortType="descending">
      <items count="8">
        <item x="2"/>
        <item x="3"/>
        <item x="6"/>
        <item x="5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5"/>
    </i>
    <i>
      <x v="6"/>
    </i>
    <i>
      <x v="2"/>
    </i>
    <i>
      <x v="1"/>
    </i>
    <i>
      <x v="4"/>
    </i>
    <i>
      <x v="3"/>
    </i>
    <i>
      <x/>
    </i>
    <i t="grand">
      <x/>
    </i>
  </rowItems>
  <colItems count="1">
    <i/>
  </colItems>
  <dataFields count="1">
    <dataField name="Среднее по полю Плотность автомобильных дорог общего пользования с твердым покрытием, километров дорог на 1000 км² территории" fld="2" subtotal="average" baseField="3" baseItem="2"/>
  </dataFields>
  <formats count="14">
    <format dxfId="132">
      <pivotArea field="3" type="button" dataOnly="0" labelOnly="1" outline="0" axis="axisRow" fieldPosition="0"/>
    </format>
    <format dxfId="131">
      <pivotArea dataOnly="0" labelOnly="1" outline="0" axis="axisValues" fieldPosition="0"/>
    </format>
    <format dxfId="130">
      <pivotArea field="3" type="button" dataOnly="0" labelOnly="1" outline="0" axis="axisRow" fieldPosition="0"/>
    </format>
    <format dxfId="129">
      <pivotArea dataOnly="0" labelOnly="1" outline="0" axis="axisValues" fieldPosition="0"/>
    </format>
    <format dxfId="128">
      <pivotArea field="3" type="button" dataOnly="0" labelOnly="1" outline="0" axis="axisRow" fieldPosition="0"/>
    </format>
    <format dxfId="127">
      <pivotArea dataOnly="0" labelOnly="1" outline="0" axis="axisValues" fieldPosition="0"/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3" type="button" dataOnly="0" labelOnly="1" outline="0" axis="axisRow" fieldPosition="0"/>
    </format>
    <format dxfId="123">
      <pivotArea dataOnly="0" labelOnly="1" outline="0" axis="axisValues" fieldPosition="0"/>
    </format>
    <format dxfId="122">
      <pivotArea dataOnly="0" labelOnly="1" fieldPosition="0">
        <references count="1">
          <reference field="3" count="0"/>
        </references>
      </pivotArea>
    </format>
    <format dxfId="121">
      <pivotArea dataOnly="0" labelOnly="1" grandRow="1" outline="0" fieldPosition="0"/>
    </format>
    <format dxfId="120">
      <pivotArea field="3" type="button" dataOnly="0" labelOnly="1" outline="0" axis="axisRow" fieldPosition="0"/>
    </format>
    <format dxfId="11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Сводная таблица16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6" rowHeaderCaption="Группировочный признак (федеральный округ)">
  <location ref="A156:B164" firstHeaderRow="1" firstDataRow="1" firstDataCol="1"/>
  <pivotFields count="4">
    <pivotField showAll="0"/>
    <pivotField showAll="0"/>
    <pivotField dataField="1" showAll="0"/>
    <pivotField axis="axisRow" showAll="0" sortType="descending">
      <items count="8">
        <item x="2"/>
        <item x="3"/>
        <item x="6"/>
        <item x="5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2"/>
    </i>
    <i>
      <x v="5"/>
    </i>
    <i>
      <x v="6"/>
    </i>
    <i>
      <x v="1"/>
    </i>
    <i>
      <x v="4"/>
    </i>
    <i>
      <x v="3"/>
    </i>
    <i>
      <x/>
    </i>
    <i t="grand">
      <x/>
    </i>
  </rowItems>
  <colItems count="1">
    <i/>
  </colItems>
  <dataFields count="1">
    <dataField name="Максимум по полю Плотность автомобильных дорог общего пользования с твердым покрытием, километров дорог на 1000 км² территории" fld="2" subtotal="max" baseField="3" baseItem="3"/>
  </dataFields>
  <formats count="15">
    <format dxfId="147">
      <pivotArea field="3" type="button" dataOnly="0" labelOnly="1" outline="0" axis="axisRow" fieldPosition="0"/>
    </format>
    <format dxfId="146">
      <pivotArea dataOnly="0" labelOnly="1" outline="0" axis="axisValues" fieldPosition="0"/>
    </format>
    <format dxfId="145">
      <pivotArea field="3" type="button" dataOnly="0" labelOnly="1" outline="0" axis="axisRow" fieldPosition="0"/>
    </format>
    <format dxfId="144">
      <pivotArea dataOnly="0" labelOnly="1" outline="0" axis="axisValues" fieldPosition="0"/>
    </format>
    <format dxfId="143">
      <pivotArea field="3" type="button" dataOnly="0" labelOnly="1" outline="0" axis="axisRow" fieldPosition="0"/>
    </format>
    <format dxfId="142">
      <pivotArea dataOnly="0" labelOnly="1" outline="0" axis="axisValues" fieldPosition="0"/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3" type="button" dataOnly="0" labelOnly="1" outline="0" axis="axisRow" fieldPosition="0"/>
    </format>
    <format dxfId="138">
      <pivotArea dataOnly="0" labelOnly="1" outline="0" axis="axisValues" fieldPosition="0"/>
    </format>
    <format dxfId="137">
      <pivotArea dataOnly="0" labelOnly="1" fieldPosition="0">
        <references count="1">
          <reference field="3" count="0"/>
        </references>
      </pivotArea>
    </format>
    <format dxfId="136">
      <pivotArea dataOnly="0" labelOnly="1" grandRow="1" outline="0" fieldPosition="0"/>
    </format>
    <format dxfId="135">
      <pivotArea field="3" type="button" dataOnly="0" labelOnly="1" outline="0" axis="axisRow" fieldPosition="0"/>
    </format>
    <format dxfId="134">
      <pivotArea dataOnly="0" labelOnly="1" outline="0" axis="axisValues" fieldPosition="0"/>
    </format>
    <format dxfId="13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Сводная таблица15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6" rowHeaderCaption="Группировочный признак (федеральный округ)">
  <location ref="A132:B140" firstHeaderRow="1" firstDataRow="1" firstDataCol="1"/>
  <pivotFields count="4">
    <pivotField showAll="0"/>
    <pivotField showAll="0"/>
    <pivotField dataField="1" showAll="0"/>
    <pivotField axis="axisRow" showAll="0" sortType="descending">
      <items count="8">
        <item x="2"/>
        <item x="3"/>
        <item x="6"/>
        <item x="5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5"/>
    </i>
    <i>
      <x v="1"/>
    </i>
    <i>
      <x v="6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Минимум по полю Плотность автомобильных дорог общего пользования с твердым покрытием, километров дорог на 1000 км² территории" fld="2" subtotal="min" baseField="3" baseItem="1"/>
  </dataFields>
  <formats count="16">
    <format dxfId="163">
      <pivotArea field="3" type="button" dataOnly="0" labelOnly="1" outline="0" axis="axisRow" fieldPosition="0"/>
    </format>
    <format dxfId="162">
      <pivotArea dataOnly="0" labelOnly="1" outline="0" axis="axisValues" fieldPosition="0"/>
    </format>
    <format dxfId="161">
      <pivotArea field="3" type="button" dataOnly="0" labelOnly="1" outline="0" axis="axisRow" fieldPosition="0"/>
    </format>
    <format dxfId="160">
      <pivotArea dataOnly="0" labelOnly="1" outline="0" axis="axisValues" fieldPosition="0"/>
    </format>
    <format dxfId="159">
      <pivotArea field="3" type="button" dataOnly="0" labelOnly="1" outline="0" axis="axisRow" fieldPosition="0"/>
    </format>
    <format dxfId="158">
      <pivotArea dataOnly="0" labelOnly="1" outline="0" axis="axisValues" fieldPosition="0"/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3" type="button" dataOnly="0" labelOnly="1" outline="0" axis="axisRow" fieldPosition="0"/>
    </format>
    <format dxfId="154">
      <pivotArea dataOnly="0" labelOnly="1" outline="0" axis="axisValues" fieldPosition="0"/>
    </format>
    <format dxfId="153">
      <pivotArea dataOnly="0" labelOnly="1" fieldPosition="0">
        <references count="1">
          <reference field="3" count="0"/>
        </references>
      </pivotArea>
    </format>
    <format dxfId="152">
      <pivotArea dataOnly="0" labelOnly="1" grandRow="1" outline="0" fieldPosition="0"/>
    </format>
    <format dxfId="151">
      <pivotArea field="3" type="button" dataOnly="0" labelOnly="1" outline="0" axis="axisRow" fieldPosition="0"/>
    </format>
    <format dxfId="150">
      <pivotArea dataOnly="0" labelOnly="1" outline="0" axis="axisValues" fieldPosition="0"/>
    </format>
    <format dxfId="149">
      <pivotArea field="3" type="button" dataOnly="0" labelOnly="1" outline="0" axis="axisRow" fieldPosition="0"/>
    </format>
    <format dxfId="14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Сводная таблица11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5" rowHeaderCaption="Группировочный признак (федеральный округ)">
  <location ref="A1:B9" firstHeaderRow="1" firstDataRow="1" firstDataCol="1"/>
  <pivotFields count="4">
    <pivotField showAll="0"/>
    <pivotField dataField="1" showAll="0"/>
    <pivotField showAll="0"/>
    <pivotField axis="axisRow" showAll="0" sortType="descending">
      <items count="8">
        <item x="2"/>
        <item x="3"/>
        <item x="6"/>
        <item x="5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3"/>
    </i>
    <i>
      <x v="5"/>
    </i>
    <i>
      <x v="6"/>
    </i>
    <i>
      <x v="1"/>
    </i>
    <i>
      <x/>
    </i>
    <i>
      <x v="2"/>
    </i>
    <i>
      <x v="4"/>
    </i>
    <i t="grand">
      <x/>
    </i>
  </rowItems>
  <colItems count="1">
    <i/>
  </colItems>
  <dataFields count="1">
    <dataField name="Среднее по полю Количество ДТП с пострадавшими на 100 тыс. ед. автотранспорта в январе-июне 2024 г." fld="1" subtotal="average" baseField="3" baseItem="1"/>
  </dataFields>
  <formats count="12">
    <format dxfId="175">
      <pivotArea field="3" type="button" dataOnly="0" labelOnly="1" outline="0" axis="axisRow" fieldPosition="0"/>
    </format>
    <format dxfId="174">
      <pivotArea dataOnly="0" labelOnly="1" outline="0" axis="axisValues" fieldPosition="0"/>
    </format>
    <format dxfId="173">
      <pivotArea field="3" type="button" dataOnly="0" labelOnly="1" outline="0" axis="axisRow" fieldPosition="0"/>
    </format>
    <format dxfId="172">
      <pivotArea dataOnly="0" labelOnly="1" outline="0" axis="axisValues" fieldPosition="0"/>
    </format>
    <format dxfId="171">
      <pivotArea field="3" type="button" dataOnly="0" labelOnly="1" outline="0" axis="axisRow" fieldPosition="0"/>
    </format>
    <format dxfId="170">
      <pivotArea dataOnly="0" labelOnly="1" outline="0" axis="axisValues" fieldPosition="0"/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3" type="button" dataOnly="0" labelOnly="1" outline="0" axis="axisRow" fieldPosition="0"/>
    </format>
    <format dxfId="166">
      <pivotArea dataOnly="0" labelOnly="1" outline="0" axis="axisValues" fieldPosition="0"/>
    </format>
    <format dxfId="165">
      <pivotArea dataOnly="0" labelOnly="1" fieldPosition="0">
        <references count="1">
          <reference field="3" count="0"/>
        </references>
      </pivotArea>
    </format>
    <format dxfId="164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Сводная таблица21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5" rowHeaderCaption="Группировочный признак (федеральный округ)">
  <location ref="A287:B295" firstHeaderRow="1" firstDataRow="1" firstDataCol="1"/>
  <pivotFields count="4">
    <pivotField showAll="0"/>
    <pivotField showAll="0"/>
    <pivotField dataField="1" showAll="0"/>
    <pivotField axis="axisRow" showAll="0" sortType="descending">
      <items count="8">
        <item x="2"/>
        <item x="3"/>
        <item x="6"/>
        <item x="5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5"/>
    </i>
    <i>
      <x v="6"/>
    </i>
    <i>
      <x v="2"/>
    </i>
    <i>
      <x v="1"/>
    </i>
    <i>
      <x v="4"/>
    </i>
    <i>
      <x v="3"/>
    </i>
    <i>
      <x/>
    </i>
    <i t="grand">
      <x/>
    </i>
  </rowItems>
  <colItems count="1">
    <i/>
  </colItems>
  <dataFields count="1">
    <dataField name="Среднее по полю Плотность автомобильных дорог общего пользования с твердым покрытием, километров дорог на 1000 км² территории" fld="2" subtotal="average" baseField="3" baseItem="3"/>
  </dataFields>
  <formats count="16">
    <format dxfId="191">
      <pivotArea field="3" type="button" dataOnly="0" labelOnly="1" outline="0" axis="axisRow" fieldPosition="0"/>
    </format>
    <format dxfId="190">
      <pivotArea dataOnly="0" labelOnly="1" outline="0" axis="axisValues" fieldPosition="0"/>
    </format>
    <format dxfId="189">
      <pivotArea field="3" type="button" dataOnly="0" labelOnly="1" outline="0" axis="axisRow" fieldPosition="0"/>
    </format>
    <format dxfId="188">
      <pivotArea dataOnly="0" labelOnly="1" outline="0" axis="axisValues" fieldPosition="0"/>
    </format>
    <format dxfId="187">
      <pivotArea field="3" type="button" dataOnly="0" labelOnly="1" outline="0" axis="axisRow" fieldPosition="0"/>
    </format>
    <format dxfId="186">
      <pivotArea dataOnly="0" labelOnly="1" outline="0" axis="axisValues" fieldPosition="0"/>
    </format>
    <format dxfId="185">
      <pivotArea field="3" type="button" dataOnly="0" labelOnly="1" outline="0" axis="axisRow" fieldPosition="0"/>
    </format>
    <format dxfId="184">
      <pivotArea dataOnly="0" labelOnly="1" outline="0" axis="axisValues" fieldPosition="0"/>
    </format>
    <format dxfId="183">
      <pivotArea type="all" dataOnly="0" outline="0" fieldPosition="0"/>
    </format>
    <format dxfId="182">
      <pivotArea outline="0" collapsedLevelsAreSubtotals="1" fieldPosition="0"/>
    </format>
    <format dxfId="181">
      <pivotArea field="3" type="button" dataOnly="0" labelOnly="1" outline="0" axis="axisRow" fieldPosition="0"/>
    </format>
    <format dxfId="180">
      <pivotArea dataOnly="0" labelOnly="1" outline="0" axis="axisValues" fieldPosition="0"/>
    </format>
    <format dxfId="179">
      <pivotArea dataOnly="0" labelOnly="1" fieldPosition="0">
        <references count="1">
          <reference field="3" count="0"/>
        </references>
      </pivotArea>
    </format>
    <format dxfId="178">
      <pivotArea dataOnly="0" labelOnly="1" grandRow="1" outline="0" fieldPosition="0"/>
    </format>
    <format dxfId="177">
      <pivotArea field="3" type="button" dataOnly="0" labelOnly="1" outline="0" axis="axisRow" fieldPosition="0"/>
    </format>
    <format dxfId="176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Сводная таблица23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4" rowHeaderCaption="Группировочный признак (федеральный округ)">
  <location ref="A366:B374" firstHeaderRow="1" firstDataRow="1" firstDataCol="1"/>
  <pivotFields count="4">
    <pivotField showAll="0"/>
    <pivotField showAll="0"/>
    <pivotField dataField="1" showAll="0"/>
    <pivotField axis="axisRow" showAll="0" sortType="descending">
      <items count="8">
        <item x="2"/>
        <item x="3"/>
        <item x="6"/>
        <item x="5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2"/>
    </i>
    <i>
      <x v="5"/>
    </i>
    <i>
      <x v="6"/>
    </i>
    <i>
      <x v="1"/>
    </i>
    <i>
      <x v="4"/>
    </i>
    <i>
      <x v="3"/>
    </i>
    <i>
      <x/>
    </i>
    <i t="grand">
      <x/>
    </i>
  </rowItems>
  <colItems count="1">
    <i/>
  </colItems>
  <dataFields count="1">
    <dataField name="Максимум по полю Плотность автомобильных дорог общего пользования с твердым покрытием, километров дорог на 1000 км² территории" fld="2" subtotal="max" baseField="3" baseItem="2"/>
  </dataFields>
  <formats count="16">
    <format dxfId="207">
      <pivotArea field="3" type="button" dataOnly="0" labelOnly="1" outline="0" axis="axisRow" fieldPosition="0"/>
    </format>
    <format dxfId="206">
      <pivotArea dataOnly="0" labelOnly="1" outline="0" axis="axisValues" fieldPosition="0"/>
    </format>
    <format dxfId="205">
      <pivotArea field="3" type="button" dataOnly="0" labelOnly="1" outline="0" axis="axisRow" fieldPosition="0"/>
    </format>
    <format dxfId="204">
      <pivotArea dataOnly="0" labelOnly="1" outline="0" axis="axisValues" fieldPosition="0"/>
    </format>
    <format dxfId="203">
      <pivotArea field="3" type="button" dataOnly="0" labelOnly="1" outline="0" axis="axisRow" fieldPosition="0"/>
    </format>
    <format dxfId="202">
      <pivotArea dataOnly="0" labelOnly="1" outline="0" axis="axisValues" fieldPosition="0"/>
    </format>
    <format dxfId="201">
      <pivotArea field="3" type="button" dataOnly="0" labelOnly="1" outline="0" axis="axisRow" fieldPosition="0"/>
    </format>
    <format dxfId="200">
      <pivotArea dataOnly="0" labelOnly="1" outline="0" axis="axisValues" fieldPosition="0"/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field="3" type="button" dataOnly="0" labelOnly="1" outline="0" axis="axisRow" fieldPosition="0"/>
    </format>
    <format dxfId="196">
      <pivotArea dataOnly="0" labelOnly="1" outline="0" axis="axisValues" fieldPosition="0"/>
    </format>
    <format dxfId="195">
      <pivotArea dataOnly="0" labelOnly="1" fieldPosition="0">
        <references count="1">
          <reference field="3" count="0"/>
        </references>
      </pivotArea>
    </format>
    <format dxfId="194">
      <pivotArea dataOnly="0" labelOnly="1" grandRow="1" outline="0" fieldPosition="0"/>
    </format>
    <format dxfId="193">
      <pivotArea field="3" type="button" dataOnly="0" labelOnly="1" outline="0" axis="axisRow" fieldPosition="0"/>
    </format>
    <format dxfId="19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Сводная таблица20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5" rowHeaderCaption="Группировочный признак (федеральный округ)">
  <location ref="A253:B261" firstHeaderRow="1" firstDataRow="1" firstDataCol="1"/>
  <pivotFields count="4">
    <pivotField showAll="0"/>
    <pivotField dataField="1" showAll="0"/>
    <pivotField showAll="0"/>
    <pivotField axis="axisRow" showAll="0" sortType="descending">
      <items count="8">
        <item x="2"/>
        <item x="3"/>
        <item x="6"/>
        <item x="5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3"/>
    </i>
    <i>
      <x v="6"/>
    </i>
    <i>
      <x v="4"/>
    </i>
    <i>
      <x v="5"/>
    </i>
    <i>
      <x/>
    </i>
    <i>
      <x v="1"/>
    </i>
    <i>
      <x v="2"/>
    </i>
    <i t="grand">
      <x/>
    </i>
  </rowItems>
  <colItems count="1">
    <i/>
  </colItems>
  <dataFields count="1">
    <dataField name="Максимум по полю Количество ДТП с пострадавшими на 100 тыс. ед. автотранспорта в январе-июне 2024 г." fld="1" subtotal="max" baseField="3" baseItem="1"/>
  </dataFields>
  <formats count="20">
    <format dxfId="227">
      <pivotArea type="all" dataOnly="0" outline="0" fieldPosition="0"/>
    </format>
    <format dxfId="226">
      <pivotArea outline="0" collapsedLevelsAreSubtotals="1" fieldPosition="0"/>
    </format>
    <format dxfId="225">
      <pivotArea field="3" type="button" dataOnly="0" labelOnly="1" outline="0" axis="axisRow" fieldPosition="0"/>
    </format>
    <format dxfId="224">
      <pivotArea dataOnly="0" labelOnly="1" outline="0" axis="axisValues" fieldPosition="0"/>
    </format>
    <format dxfId="223">
      <pivotArea dataOnly="0" labelOnly="1" fieldPosition="0">
        <references count="1">
          <reference field="3" count="0"/>
        </references>
      </pivotArea>
    </format>
    <format dxfId="222">
      <pivotArea dataOnly="0" labelOnly="1" grandRow="1" outline="0" fieldPosition="0"/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field="3" type="button" dataOnly="0" labelOnly="1" outline="0" axis="axisRow" fieldPosition="0"/>
    </format>
    <format dxfId="218">
      <pivotArea dataOnly="0" labelOnly="1" outline="0" axis="axisValues" fieldPosition="0"/>
    </format>
    <format dxfId="217">
      <pivotArea dataOnly="0" labelOnly="1" fieldPosition="0">
        <references count="1">
          <reference field="3" count="0"/>
        </references>
      </pivotArea>
    </format>
    <format dxfId="216">
      <pivotArea dataOnly="0" labelOnly="1" grandRow="1" outline="0" fieldPosition="0"/>
    </format>
    <format dxfId="215">
      <pivotArea type="all" dataOnly="0" outline="0" fieldPosition="0"/>
    </format>
    <format dxfId="214">
      <pivotArea outline="0" collapsedLevelsAreSubtotals="1" fieldPosition="0"/>
    </format>
    <format dxfId="213">
      <pivotArea field="3" type="button" dataOnly="0" labelOnly="1" outline="0" axis="axisRow" fieldPosition="0"/>
    </format>
    <format dxfId="212">
      <pivotArea dataOnly="0" labelOnly="1" outline="0" axis="axisValues" fieldPosition="0"/>
    </format>
    <format dxfId="211">
      <pivotArea dataOnly="0" labelOnly="1" fieldPosition="0">
        <references count="1">
          <reference field="3" count="0"/>
        </references>
      </pivotArea>
    </format>
    <format dxfId="210">
      <pivotArea dataOnly="0" labelOnly="1" grandRow="1" outline="0" fieldPosition="0"/>
    </format>
    <format dxfId="209">
      <pivotArea field="3" type="button" dataOnly="0" labelOnly="1" outline="0" axis="axisRow" fieldPosition="0"/>
    </format>
    <format dxfId="208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Сводная таблица13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5" rowHeaderCaption="Группировочный признак (федеральный округ)">
  <location ref="A62:B70" firstHeaderRow="1" firstDataRow="1" firstDataCol="1"/>
  <pivotFields count="4">
    <pivotField showAll="0"/>
    <pivotField dataField="1" showAll="0"/>
    <pivotField showAll="0"/>
    <pivotField axis="axisRow" showAll="0" sortType="descending">
      <items count="8">
        <item x="2"/>
        <item x="3"/>
        <item x="6"/>
        <item x="5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3"/>
    </i>
    <i>
      <x v="6"/>
    </i>
    <i>
      <x v="4"/>
    </i>
    <i>
      <x v="5"/>
    </i>
    <i>
      <x/>
    </i>
    <i>
      <x v="1"/>
    </i>
    <i>
      <x v="2"/>
    </i>
    <i t="grand">
      <x/>
    </i>
  </rowItems>
  <colItems count="1">
    <i/>
  </colItems>
  <dataFields count="1">
    <dataField name="Максимум по полю Количество ДТП с пострадавшими на 100 тыс. ед. автотранспорта в январе-июне 2024 г." fld="1" subtotal="max" baseField="3" baseItem="1"/>
  </dataFields>
  <formats count="14">
    <format dxfId="241">
      <pivotArea field="3" type="button" dataOnly="0" labelOnly="1" outline="0" axis="axisRow" fieldPosition="0"/>
    </format>
    <format dxfId="240">
      <pivotArea dataOnly="0" labelOnly="1" outline="0" axis="axisValues" fieldPosition="0"/>
    </format>
    <format dxfId="239">
      <pivotArea field="3" type="button" dataOnly="0" labelOnly="1" outline="0" axis="axisRow" fieldPosition="0"/>
    </format>
    <format dxfId="238">
      <pivotArea dataOnly="0" labelOnly="1" outline="0" axis="axisValues" fieldPosition="0"/>
    </format>
    <format dxfId="237">
      <pivotArea field="3" type="button" dataOnly="0" labelOnly="1" outline="0" axis="axisRow" fieldPosition="0"/>
    </format>
    <format dxfId="236">
      <pivotArea dataOnly="0" labelOnly="1" outline="0" axis="axisValues" fieldPosition="0"/>
    </format>
    <format dxfId="235">
      <pivotArea field="3" type="button" dataOnly="0" labelOnly="1" outline="0" axis="axisRow" fieldPosition="0"/>
    </format>
    <format dxfId="234">
      <pivotArea dataOnly="0" labelOnly="1" outline="0" axis="axisValues" fieldPosition="0"/>
    </format>
    <format dxfId="233">
      <pivotArea type="all" dataOnly="0" outline="0" fieldPosition="0"/>
    </format>
    <format dxfId="232">
      <pivotArea outline="0" collapsedLevelsAreSubtotals="1" fieldPosition="0"/>
    </format>
    <format dxfId="231">
      <pivotArea field="3" type="button" dataOnly="0" labelOnly="1" outline="0" axis="axisRow" fieldPosition="0"/>
    </format>
    <format dxfId="230">
      <pivotArea dataOnly="0" labelOnly="1" outline="0" axis="axisValues" fieldPosition="0"/>
    </format>
    <format dxfId="229">
      <pivotArea dataOnly="0" labelOnly="1" fieldPosition="0">
        <references count="1">
          <reference field="3" count="0"/>
        </references>
      </pivotArea>
    </format>
    <format dxfId="228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Сводная таблица17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6" rowHeaderCaption="Группировочный признак (федеральный округ)">
  <location ref="A188:B196" firstHeaderRow="1" firstDataRow="1" firstDataCol="1"/>
  <pivotFields count="4">
    <pivotField showAll="0"/>
    <pivotField dataField="1" showAll="0">
      <items count="84">
        <item x="4"/>
        <item x="1"/>
        <item x="2"/>
        <item x="54"/>
        <item x="12"/>
        <item x="18"/>
        <item x="6"/>
        <item x="47"/>
        <item x="39"/>
        <item x="36"/>
        <item x="77"/>
        <item x="52"/>
        <item x="80"/>
        <item x="19"/>
        <item x="44"/>
        <item x="24"/>
        <item x="41"/>
        <item x="30"/>
        <item x="53"/>
        <item x="78"/>
        <item x="55"/>
        <item x="25"/>
        <item x="57"/>
        <item x="46"/>
        <item x="60"/>
        <item x="75"/>
        <item x="67"/>
        <item x="8"/>
        <item x="49"/>
        <item x="37"/>
        <item x="21"/>
        <item x="56"/>
        <item x="34"/>
        <item x="65"/>
        <item x="3"/>
        <item x="69"/>
        <item x="5"/>
        <item x="27"/>
        <item x="72"/>
        <item x="32"/>
        <item x="58"/>
        <item x="14"/>
        <item x="43"/>
        <item x="22"/>
        <item x="82"/>
        <item x="29"/>
        <item x="13"/>
        <item x="11"/>
        <item x="50"/>
        <item x="23"/>
        <item x="7"/>
        <item x="61"/>
        <item x="73"/>
        <item x="9"/>
        <item x="71"/>
        <item x="20"/>
        <item x="74"/>
        <item x="16"/>
        <item x="38"/>
        <item x="70"/>
        <item x="15"/>
        <item x="51"/>
        <item x="42"/>
        <item x="79"/>
        <item x="66"/>
        <item x="33"/>
        <item x="59"/>
        <item x="62"/>
        <item x="17"/>
        <item x="68"/>
        <item x="28"/>
        <item x="0"/>
        <item x="31"/>
        <item x="45"/>
        <item x="40"/>
        <item x="76"/>
        <item x="64"/>
        <item x="81"/>
        <item x="63"/>
        <item x="10"/>
        <item x="48"/>
        <item x="35"/>
        <item x="26"/>
        <item t="default"/>
      </items>
    </pivotField>
    <pivotField showAll="0"/>
    <pivotField axis="axisRow" showAll="0" sortType="descending">
      <items count="8">
        <item x="2"/>
        <item x="3"/>
        <item x="6"/>
        <item x="5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3"/>
    </i>
    <i>
      <x v="5"/>
    </i>
    <i>
      <x v="6"/>
    </i>
    <i>
      <x v="1"/>
    </i>
    <i>
      <x/>
    </i>
    <i>
      <x v="2"/>
    </i>
    <i>
      <x v="4"/>
    </i>
    <i t="grand">
      <x/>
    </i>
  </rowItems>
  <colItems count="1">
    <i/>
  </colItems>
  <dataFields count="1">
    <dataField name="Среднее по полю Количество ДТП с пострадавшими на 100 тыс. ед. автотранспорта в январе-июне 2024 г." fld="1" subtotal="average" baseField="3" baseItem="2"/>
  </dataFields>
  <formats count="16">
    <format dxfId="257">
      <pivotArea field="3" type="button" dataOnly="0" labelOnly="1" outline="0" axis="axisRow" fieldPosition="0"/>
    </format>
    <format dxfId="256">
      <pivotArea dataOnly="0" labelOnly="1" outline="0" axis="axisValues" fieldPosition="0"/>
    </format>
    <format dxfId="255">
      <pivotArea field="3" type="button" dataOnly="0" labelOnly="1" outline="0" axis="axisRow" fieldPosition="0"/>
    </format>
    <format dxfId="254">
      <pivotArea dataOnly="0" labelOnly="1" outline="0" axis="axisValues" fieldPosition="0"/>
    </format>
    <format dxfId="253">
      <pivotArea field="3" type="button" dataOnly="0" labelOnly="1" outline="0" axis="axisRow" fieldPosition="0"/>
    </format>
    <format dxfId="252">
      <pivotArea dataOnly="0" labelOnly="1" outline="0" axis="axisValues" fieldPosition="0"/>
    </format>
    <format dxfId="251">
      <pivotArea field="3" type="button" dataOnly="0" labelOnly="1" outline="0" axis="axisRow" fieldPosition="0"/>
    </format>
    <format dxfId="250">
      <pivotArea dataOnly="0" labelOnly="1" outline="0" axis="axisValues" fieldPosition="0"/>
    </format>
    <format dxfId="249">
      <pivotArea type="all" dataOnly="0" outline="0" fieldPosition="0"/>
    </format>
    <format dxfId="248">
      <pivotArea outline="0" collapsedLevelsAreSubtotals="1" fieldPosition="0"/>
    </format>
    <format dxfId="247">
      <pivotArea field="3" type="button" dataOnly="0" labelOnly="1" outline="0" axis="axisRow" fieldPosition="0"/>
    </format>
    <format dxfId="246">
      <pivotArea dataOnly="0" labelOnly="1" outline="0" axis="axisValues" fieldPosition="0"/>
    </format>
    <format dxfId="245">
      <pivotArea dataOnly="0" labelOnly="1" fieldPosition="0">
        <references count="1">
          <reference field="3" count="0"/>
        </references>
      </pivotArea>
    </format>
    <format dxfId="244">
      <pivotArea dataOnly="0" labelOnly="1" grandRow="1" outline="0" fieldPosition="0"/>
    </format>
    <format dxfId="243">
      <pivotArea field="3" type="button" dataOnly="0" labelOnly="1" outline="0" axis="axisRow" fieldPosition="0"/>
    </format>
    <format dxfId="242">
      <pivotArea dataOnly="0" labelOnly="1" outline="0" axis="axisValues" fieldPosition="0"/>
    </format>
  </formats>
  <chartFormats count="1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Сводная таблица12" cacheId="0" applyNumberFormats="0" applyBorderFormats="0" applyFontFormats="0" applyPatternFormats="0" applyAlignmentFormats="0" applyWidthHeightFormats="1" dataCaption="Значения" updatedVersion="6" minRefreshableVersion="3" showCalcMbrs="0" useAutoFormatting="1" itemPrintTitles="1" createdVersion="3" indent="0" outline="1" outlineData="1" multipleFieldFilters="0" chartFormat="5" rowHeaderCaption="Диапазон значений плотности автомобильных дорог общего пользования с твердым покрытием, километров дорог на 1000 км² территории">
  <location ref="A155:B164" firstHeaderRow="1" firstDataRow="1" firstDataCol="1"/>
  <pivotFields count="4">
    <pivotField showAll="0"/>
    <pivotField showAll="0"/>
    <pivotField dataField="1"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13"/>
    </i>
    <i t="grand">
      <x/>
    </i>
  </rowItems>
  <colItems count="1">
    <i/>
  </colItems>
  <dataFields count="1">
    <dataField name="Максимум по полю Количество ДТП с пострадавшими на 100 тыс. ед. автотранспорта в январе-июне 2024 г." fld="2" subtotal="max" baseField="3" baseItem="6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labelOnly="1" fieldPosition="0">
        <references count="1">
          <reference field="3" count="8">
            <x v="1"/>
            <x v="2"/>
            <x v="3"/>
            <x v="4"/>
            <x v="5"/>
            <x v="6"/>
            <x v="7"/>
            <x v="13"/>
          </reference>
        </references>
      </pivotArea>
    </format>
    <format dxfId="6">
      <pivotArea dataOnly="0" labelOnly="1" grandRow="1" outline="0" fieldPosition="0"/>
    </format>
    <format dxfId="5">
      <pivotArea field="3" type="button" dataOnly="0" labelOnly="1" outline="0" axis="axisRow" fieldPosition="0"/>
    </format>
    <format dxfId="4">
      <pivotArea dataOnly="0" labelOnly="1" outline="0" axis="axisValues" fieldPosition="0"/>
    </format>
    <format dxfId="3">
      <pivotArea field="3" type="button" dataOnly="0" labelOnly="1" outline="0" axis="axisRow" fieldPosition="0"/>
    </format>
    <format dxfId="2">
      <pivotArea dataOnly="0" labelOnly="1" outline="0" axis="axisValues" fieldPosition="0"/>
    </format>
    <format dxfId="1">
      <pivotArea field="3" type="button" dataOnly="0" labelOnly="1" outline="0" axis="axisRow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6.xml><?xml version="1.0" encoding="utf-8"?>
<pivotTableDefinition xmlns="http://schemas.openxmlformats.org/spreadsheetml/2006/main" name="Сводная таблица8" cacheId="0" applyNumberFormats="0" applyBorderFormats="0" applyFontFormats="0" applyPatternFormats="0" applyAlignmentFormats="0" applyWidthHeightFormats="1" dataCaption="Значения" updatedVersion="6" minRefreshableVersion="3" showCalcMbrs="0" useAutoFormatting="1" itemPrintTitles="1" createdVersion="3" indent="0" outline="1" outlineData="1" multipleFieldFilters="0" chartFormat="5" rowHeaderCaption="Диапазон значений количества ДТП с пострадавшими на 100 тыс. ед. автотранспорта в январе-июне 2024 г.">
  <location ref="A1:B9" firstHeaderRow="1" firstDataRow="1" firstDataCol="1"/>
  <pivotFields count="4"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1">
    <field x="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Среднее по полю Плотность автомобильных дорог общего пользования с твердым покрытием, километров дорог на 1000 км² территории" fld="3" subtotal="average" baseField="2" baseItem="4"/>
  </dataFields>
  <formats count="15">
    <format dxfId="26">
      <pivotArea field="2" type="button" dataOnly="0" labelOnly="1" outline="0" axis="axisRow" fieldPosition="0"/>
    </format>
    <format dxfId="25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2" type="button" dataOnly="0" labelOnly="1" outline="0" axis="axisRow" fieldPosition="0"/>
    </format>
    <format dxfId="21">
      <pivotArea dataOnly="0" labelOnly="1" outline="0" axis="axisValues" fieldPosition="0"/>
    </format>
    <format dxfId="20">
      <pivotArea dataOnly="0" labelOnly="1" fieldPosition="0">
        <references count="1">
          <reference field="2" count="7">
            <x v="1"/>
            <x v="2"/>
            <x v="3"/>
            <x v="4"/>
            <x v="5"/>
            <x v="6"/>
            <x v="7"/>
          </reference>
        </references>
      </pivotArea>
    </format>
    <format dxfId="19">
      <pivotArea dataOnly="0" labelOnly="1" grandRow="1" outline="0" fieldPosition="0"/>
    </format>
    <format dxfId="18">
      <pivotArea field="2" type="button" dataOnly="0" labelOnly="1" outline="0" axis="axisRow" fieldPosition="0"/>
    </format>
    <format dxfId="17">
      <pivotArea dataOnly="0" labelOnly="1" outline="0" axis="axisValues" fieldPosition="0"/>
    </format>
    <format dxfId="16">
      <pivotArea field="2" type="button" dataOnly="0" labelOnly="1" outline="0" axis="axisRow" fieldPosition="0"/>
    </format>
    <format dxfId="15">
      <pivotArea dataOnly="0" labelOnly="1" outline="0" axis="axisValues" fieldPosition="0"/>
    </format>
    <format dxfId="14">
      <pivotArea field="2" type="button" dataOnly="0" labelOnly="1" outline="0" axis="axisRow" fieldPosition="0"/>
    </format>
    <format dxfId="13">
      <pivotArea dataOnly="0" labelOnly="1" outline="0" axis="axisValues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7.xml><?xml version="1.0" encoding="utf-8"?>
<pivotTableDefinition xmlns="http://schemas.openxmlformats.org/spreadsheetml/2006/main" name="Сводная таблица9" cacheId="0" applyNumberFormats="0" applyBorderFormats="0" applyFontFormats="0" applyPatternFormats="0" applyAlignmentFormats="0" applyWidthHeightFormats="1" dataCaption="Значения" updatedVersion="6" minRefreshableVersion="3" showCalcMbrs="0" useAutoFormatting="1" itemPrintTitles="1" createdVersion="3" indent="0" outline="1" outlineData="1" multipleFieldFilters="0" chartFormat="5" rowHeaderCaption="Диапазон значений количества ДТП с пострадавшими на 100 тыс. ед. автотранспорта в январе-июне 2024 г.">
  <location ref="A62:B70" firstHeaderRow="1" firstDataRow="1" firstDataCol="1"/>
  <pivotFields count="4"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Максимум по полю Плотность автомобильных дорог общего пользования с твердым покрытием, километров дорог на 1000 км² территории" fld="3" subtotal="max" baseField="2" baseItem="2"/>
  </dataFields>
  <formats count="12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2" type="button" dataOnly="0" labelOnly="1" outline="0" axis="axisRow" fieldPosition="0"/>
    </format>
    <format dxfId="35">
      <pivotArea dataOnly="0" labelOnly="1" outline="0" axis="axisValues" fieldPosition="0"/>
    </format>
    <format dxfId="34">
      <pivotArea dataOnly="0" labelOnly="1" fieldPosition="0">
        <references count="1">
          <reference field="2" count="7">
            <x v="1"/>
            <x v="2"/>
            <x v="3"/>
            <x v="4"/>
            <x v="5"/>
            <x v="6"/>
            <x v="7"/>
          </reference>
        </references>
      </pivotArea>
    </format>
    <format dxfId="33">
      <pivotArea dataOnly="0" labelOnly="1" grandRow="1" outline="0" fieldPosition="0"/>
    </format>
    <format dxfId="32">
      <pivotArea field="2" type="button" dataOnly="0" labelOnly="1" outline="0" axis="axisRow" fieldPosition="0"/>
    </format>
    <format dxfId="31">
      <pivotArea dataOnly="0" labelOnly="1" outline="0" axis="axisValues" fieldPosition="0"/>
    </format>
    <format dxfId="30">
      <pivotArea field="2" type="button" dataOnly="0" labelOnly="1" outline="0" axis="axisRow" fieldPosition="0"/>
    </format>
    <format dxfId="29">
      <pivotArea dataOnly="0" labelOnly="1" outline="0" axis="axisValues" fieldPosition="0"/>
    </format>
    <format dxfId="28">
      <pivotArea field="2" type="button" dataOnly="0" labelOnly="1" outline="0" axis="axisRow" fieldPosition="0"/>
    </format>
    <format dxfId="27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8.xml><?xml version="1.0" encoding="utf-8"?>
<pivotTableDefinition xmlns="http://schemas.openxmlformats.org/spreadsheetml/2006/main" name="Сводная таблица11" cacheId="0" applyNumberFormats="0" applyBorderFormats="0" applyFontFormats="0" applyPatternFormats="0" applyAlignmentFormats="0" applyWidthHeightFormats="1" dataCaption="Значения" updatedVersion="6" minRefreshableVersion="3" showCalcMbrs="0" useAutoFormatting="1" itemPrintTitles="1" createdVersion="3" indent="0" outline="1" outlineData="1" multipleFieldFilters="0" chartFormat="8" rowHeaderCaption="Диапазон значений плотности автомобильных дорог общего пользования с твердым покрытием, километров дорог на 1000 км² территории">
  <location ref="A125:B134" firstHeaderRow="1" firstDataRow="1" firstDataCol="1"/>
  <pivotFields count="4">
    <pivotField showAll="0"/>
    <pivotField showAll="0"/>
    <pivotField dataField="1"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13"/>
    </i>
    <i t="grand">
      <x/>
    </i>
  </rowItems>
  <colItems count="1">
    <i/>
  </colItems>
  <dataFields count="1">
    <dataField name="Минимум по полю Количество ДТП с пострадавшими на 100 тыс. ед. автотранспорта в январе-июне 2024 г." fld="2" subtotal="min" baseField="3" baseItem="6"/>
  </dataFields>
  <formats count="12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3" type="button" dataOnly="0" labelOnly="1" outline="0" axis="axisRow" fieldPosition="0"/>
    </format>
    <format dxfId="47">
      <pivotArea dataOnly="0" labelOnly="1" outline="0" axis="axisValues" fieldPosition="0"/>
    </format>
    <format dxfId="46">
      <pivotArea dataOnly="0" labelOnly="1" fieldPosition="0">
        <references count="1">
          <reference field="3" count="8">
            <x v="1"/>
            <x v="2"/>
            <x v="3"/>
            <x v="4"/>
            <x v="5"/>
            <x v="6"/>
            <x v="7"/>
            <x v="13"/>
          </reference>
        </references>
      </pivotArea>
    </format>
    <format dxfId="45">
      <pivotArea dataOnly="0" labelOnly="1" grandRow="1" outline="0" fieldPosition="0"/>
    </format>
    <format dxfId="44">
      <pivotArea field="3" type="button" dataOnly="0" labelOnly="1" outline="0" axis="axisRow" fieldPosition="0"/>
    </format>
    <format dxfId="43">
      <pivotArea dataOnly="0" labelOnly="1" outline="0" axis="axisValues" fieldPosition="0"/>
    </format>
    <format dxfId="42">
      <pivotArea field="3" type="button" dataOnly="0" labelOnly="1" outline="0" axis="axisRow" fieldPosition="0"/>
    </format>
    <format dxfId="41">
      <pivotArea dataOnly="0" labelOnly="1" outline="0" axis="axisValues" fieldPosition="0"/>
    </format>
    <format dxfId="40">
      <pivotArea field="3" type="button" dataOnly="0" labelOnly="1" outline="0" axis="axisRow" fieldPosition="0"/>
    </format>
    <format dxfId="3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9.xml><?xml version="1.0" encoding="utf-8"?>
<pivotTableDefinition xmlns="http://schemas.openxmlformats.org/spreadsheetml/2006/main" name="Сводная таблица7" cacheId="0" applyNumberFormats="0" applyBorderFormats="0" applyFontFormats="0" applyPatternFormats="0" applyAlignmentFormats="0" applyWidthHeightFormats="1" dataCaption="Значения" updatedVersion="6" minRefreshableVersion="3" showCalcMbrs="0" useAutoFormatting="1" itemPrintTitles="1" createdVersion="3" indent="0" outline="1" outlineData="1" multipleFieldFilters="0" chartFormat="8" rowHeaderCaption="Диапазон значений количества ДТП с пострадавшими на 100 тыс. ед. автотранспорта в январе-июне 2024 г.">
  <location ref="A35:B43" firstHeaderRow="1" firstDataRow="1" firstDataCol="1"/>
  <pivotFields count="4"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1">
    <field x="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Минимум по полю Плотность автомобильных дорог общего пользования с твердым покрытием, километров дорог на 1000 км² территории" fld="3" subtotal="min" baseField="2" baseItem="4"/>
  </dataFields>
  <formats count="12">
    <format dxfId="62">
      <pivotArea field="2" type="button" dataOnly="0" labelOnly="1" outline="0" axis="axisRow" fieldPosition="0"/>
    </format>
    <format dxfId="61">
      <pivotArea dataOnly="0" labelOnly="1" outline="0" axis="axisValues" fieldPosition="0"/>
    </format>
    <format dxfId="60">
      <pivotArea field="2" type="button" dataOnly="0" labelOnly="1" outline="0" axis="axisRow" fieldPosition="0"/>
    </format>
    <format dxfId="59">
      <pivotArea dataOnly="0" labelOnly="1" outline="0" axis="axisValues" fieldPosition="0"/>
    </format>
    <format dxfId="58">
      <pivotArea field="2" type="button" dataOnly="0" labelOnly="1" outline="0" axis="axisRow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2" type="button" dataOnly="0" labelOnly="1" outline="0" axis="axisRow" fieldPosition="0"/>
    </format>
    <format dxfId="53">
      <pivotArea dataOnly="0" labelOnly="1" outline="0" axis="axisValues" fieldPosition="0"/>
    </format>
    <format dxfId="52">
      <pivotArea dataOnly="0" labelOnly="1" fieldPosition="0">
        <references count="1">
          <reference field="2" count="7">
            <x v="1"/>
            <x v="2"/>
            <x v="3"/>
            <x v="4"/>
            <x v="5"/>
            <x v="6"/>
            <x v="7"/>
          </reference>
        </references>
      </pivotArea>
    </format>
    <format dxfId="51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0.xml><?xml version="1.0" encoding="utf-8"?>
<pivotTableDefinition xmlns="http://schemas.openxmlformats.org/spreadsheetml/2006/main" name="Сводная таблица10" cacheId="0" applyNumberFormats="0" applyBorderFormats="0" applyFontFormats="0" applyPatternFormats="0" applyAlignmentFormats="0" applyWidthHeightFormats="1" dataCaption="Значения" updatedVersion="6" minRefreshableVersion="3" showCalcMbrs="0" useAutoFormatting="1" itemPrintTitles="1" createdVersion="3" indent="0" outline="1" outlineData="1" multipleFieldFilters="0" chartFormat="5" rowHeaderCaption="Диапазон значений плотности автомобильных дорог общего пользования с твердым покрытием, километров дорог на 1000 км² территории">
  <location ref="A96:B105" firstHeaderRow="1" firstDataRow="1" firstDataCol="1"/>
  <pivotFields count="4">
    <pivotField showAll="0"/>
    <pivotField showAll="0"/>
    <pivotField dataField="1"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13"/>
    </i>
    <i t="grand">
      <x/>
    </i>
  </rowItems>
  <colItems count="1">
    <i/>
  </colItems>
  <dataFields count="1">
    <dataField name="Среднее по полю Количество ДТП с пострадавшими на 100 тыс. ед. автотранспорта в январе-июне 2024 г." fld="2" subtotal="average" baseField="3" baseItem="6"/>
  </dataFields>
  <formats count="12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3" type="button" dataOnly="0" labelOnly="1" outline="0" axis="axisRow" fieldPosition="0"/>
    </format>
    <format dxfId="71">
      <pivotArea dataOnly="0" labelOnly="1" outline="0" axis="axisValues" fieldPosition="0"/>
    </format>
    <format dxfId="70">
      <pivotArea dataOnly="0" labelOnly="1" fieldPosition="0">
        <references count="1">
          <reference field="3" count="8">
            <x v="1"/>
            <x v="2"/>
            <x v="3"/>
            <x v="4"/>
            <x v="5"/>
            <x v="6"/>
            <x v="7"/>
            <x v="13"/>
          </reference>
        </references>
      </pivotArea>
    </format>
    <format dxfId="69">
      <pivotArea dataOnly="0" labelOnly="1" grandRow="1" outline="0" fieldPosition="0"/>
    </format>
    <format dxfId="68">
      <pivotArea field="3" type="button" dataOnly="0" labelOnly="1" outline="0" axis="axisRow" fieldPosition="0"/>
    </format>
    <format dxfId="67">
      <pivotArea dataOnly="0" labelOnly="1" outline="0" axis="axisValues" fieldPosition="0"/>
    </format>
    <format dxfId="66">
      <pivotArea field="3" type="button" dataOnly="0" labelOnly="1" outline="0" axis="axisRow" fieldPosition="0"/>
    </format>
    <format dxfId="65">
      <pivotArea dataOnly="0" labelOnly="1" outline="0" axis="axisValues" fieldPosition="0"/>
    </format>
    <format dxfId="64">
      <pivotArea field="3" type="button" dataOnly="0" labelOnly="1" outline="0" axis="axisRow" fieldPosition="0"/>
    </format>
    <format dxfId="6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12" Type="http://schemas.openxmlformats.org/officeDocument/2006/relationships/pivotTable" Target="../pivotTables/pivotTable1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11" Type="http://schemas.openxmlformats.org/officeDocument/2006/relationships/pivotTable" Target="../pivotTables/pivotTable13.xml"/><Relationship Id="rId5" Type="http://schemas.openxmlformats.org/officeDocument/2006/relationships/pivotTable" Target="../pivotTables/pivotTable7.xml"/><Relationship Id="rId10" Type="http://schemas.openxmlformats.org/officeDocument/2006/relationships/pivotTable" Target="../pivotTables/pivotTable12.xml"/><Relationship Id="rId4" Type="http://schemas.openxmlformats.org/officeDocument/2006/relationships/pivotTable" Target="../pivotTables/pivotTable6.xml"/><Relationship Id="rId9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17.xml"/><Relationship Id="rId7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pivotTable" Target="../pivotTables/pivotTable20.xml"/><Relationship Id="rId5" Type="http://schemas.openxmlformats.org/officeDocument/2006/relationships/pivotTable" Target="../pivotTables/pivotTable19.xml"/><Relationship Id="rId4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topLeftCell="A7" workbookViewId="0">
      <selection activeCell="C2" sqref="C2"/>
    </sheetView>
  </sheetViews>
  <sheetFormatPr defaultRowHeight="15" x14ac:dyDescent="0.25"/>
  <cols>
    <col min="2" max="2" width="43" customWidth="1"/>
    <col min="3" max="3" width="34.140625" customWidth="1"/>
    <col min="4" max="4" width="33.28515625" customWidth="1"/>
    <col min="5" max="5" width="34.5703125" customWidth="1"/>
  </cols>
  <sheetData>
    <row r="1" spans="1:5" ht="57" x14ac:dyDescent="0.25">
      <c r="A1" s="41" t="s">
        <v>0</v>
      </c>
      <c r="B1" s="42" t="s">
        <v>1</v>
      </c>
      <c r="C1" s="41" t="s">
        <v>135</v>
      </c>
      <c r="D1" s="41" t="s">
        <v>136</v>
      </c>
      <c r="E1" s="41" t="s">
        <v>137</v>
      </c>
    </row>
    <row r="2" spans="1:5" x14ac:dyDescent="0.25">
      <c r="A2" s="30">
        <v>66</v>
      </c>
      <c r="B2" s="30" t="s">
        <v>7</v>
      </c>
      <c r="C2" s="30">
        <v>120.3</v>
      </c>
      <c r="D2" s="30">
        <v>-19.399999999999999</v>
      </c>
      <c r="E2" s="30">
        <v>59.6</v>
      </c>
    </row>
    <row r="3" spans="1:5" x14ac:dyDescent="0.25">
      <c r="A3" s="30">
        <v>2</v>
      </c>
      <c r="B3" s="30" t="s">
        <v>8</v>
      </c>
      <c r="C3" s="30">
        <v>44.2</v>
      </c>
      <c r="D3" s="30">
        <v>4.5999999999999996</v>
      </c>
      <c r="E3" s="30">
        <v>27.2</v>
      </c>
    </row>
    <row r="4" spans="1:5" x14ac:dyDescent="0.25">
      <c r="A4" s="30">
        <v>14</v>
      </c>
      <c r="B4" s="30" t="s">
        <v>9</v>
      </c>
      <c r="C4" s="30">
        <v>74.3</v>
      </c>
      <c r="D4" s="30">
        <v>28.6</v>
      </c>
      <c r="E4" s="30">
        <v>22</v>
      </c>
    </row>
    <row r="5" spans="1:5" x14ac:dyDescent="0.25">
      <c r="A5" s="30">
        <v>74</v>
      </c>
      <c r="B5" s="30" t="s">
        <v>10</v>
      </c>
      <c r="C5" s="30">
        <v>127.7</v>
      </c>
      <c r="D5" s="30">
        <v>-7.4</v>
      </c>
      <c r="E5" s="30">
        <v>51.9</v>
      </c>
    </row>
    <row r="6" spans="1:5" x14ac:dyDescent="0.25">
      <c r="A6" s="30">
        <v>1</v>
      </c>
      <c r="B6" s="30" t="s">
        <v>11</v>
      </c>
      <c r="C6" s="30">
        <v>15.6</v>
      </c>
      <c r="D6" s="30">
        <v>-42.2</v>
      </c>
      <c r="E6" s="30">
        <v>6</v>
      </c>
    </row>
    <row r="7" spans="1:5" x14ac:dyDescent="0.25">
      <c r="A7" s="30">
        <v>42</v>
      </c>
      <c r="B7" s="30" t="s">
        <v>12</v>
      </c>
      <c r="C7" s="30">
        <v>99.6</v>
      </c>
      <c r="D7" s="30">
        <v>-4.7</v>
      </c>
      <c r="E7" s="30">
        <v>56.5</v>
      </c>
    </row>
    <row r="8" spans="1:5" x14ac:dyDescent="0.25">
      <c r="A8" s="30">
        <v>9</v>
      </c>
      <c r="B8" s="30" t="s">
        <v>16</v>
      </c>
      <c r="C8" s="30">
        <v>64.400000000000006</v>
      </c>
      <c r="D8" s="30">
        <v>-5.3</v>
      </c>
      <c r="E8" s="30">
        <v>49.1</v>
      </c>
    </row>
    <row r="9" spans="1:5" x14ac:dyDescent="0.25">
      <c r="A9" s="30">
        <v>63</v>
      </c>
      <c r="B9" s="30" t="s">
        <v>17</v>
      </c>
      <c r="C9" s="30">
        <v>114.9</v>
      </c>
      <c r="D9" s="30">
        <v>-12.5</v>
      </c>
      <c r="E9" s="30">
        <v>59</v>
      </c>
    </row>
    <row r="10" spans="1:5" x14ac:dyDescent="0.25">
      <c r="A10" s="30">
        <v>34</v>
      </c>
      <c r="B10" s="30" t="s">
        <v>18</v>
      </c>
      <c r="C10" s="30">
        <v>94</v>
      </c>
      <c r="D10" s="30">
        <v>-15.2</v>
      </c>
      <c r="E10" s="30">
        <v>52.8</v>
      </c>
    </row>
    <row r="11" spans="1:5" x14ac:dyDescent="0.25">
      <c r="A11" s="30">
        <v>45</v>
      </c>
      <c r="B11" s="30" t="s">
        <v>19</v>
      </c>
      <c r="C11" s="30">
        <v>101.4</v>
      </c>
      <c r="D11" s="30">
        <v>-16.600000000000001</v>
      </c>
      <c r="E11" s="30">
        <v>49.9</v>
      </c>
    </row>
    <row r="12" spans="1:5" x14ac:dyDescent="0.25">
      <c r="A12" s="30">
        <v>81</v>
      </c>
      <c r="B12" s="30" t="s">
        <v>20</v>
      </c>
      <c r="C12" s="30">
        <v>152.30000000000001</v>
      </c>
      <c r="D12" s="30">
        <v>-11.3</v>
      </c>
      <c r="E12" s="30">
        <v>95.5</v>
      </c>
    </row>
    <row r="13" spans="1:5" x14ac:dyDescent="0.25">
      <c r="A13" s="30">
        <v>43</v>
      </c>
      <c r="B13" s="30" t="s">
        <v>21</v>
      </c>
      <c r="C13" s="30">
        <v>101.2</v>
      </c>
      <c r="D13" s="30">
        <v>-6.7</v>
      </c>
      <c r="E13" s="30">
        <v>68.7</v>
      </c>
    </row>
    <row r="14" spans="1:5" x14ac:dyDescent="0.25">
      <c r="A14" s="30">
        <v>3</v>
      </c>
      <c r="B14" s="30" t="s">
        <v>22</v>
      </c>
      <c r="C14" s="30">
        <v>46.5</v>
      </c>
      <c r="D14" s="30">
        <v>-7</v>
      </c>
      <c r="E14" s="30">
        <v>23.5</v>
      </c>
    </row>
    <row r="15" spans="1:5" x14ac:dyDescent="0.25">
      <c r="A15" s="30">
        <v>36</v>
      </c>
      <c r="B15" s="30" t="s">
        <v>23</v>
      </c>
      <c r="C15" s="30">
        <v>96.1</v>
      </c>
      <c r="D15" s="30">
        <v>-21.3</v>
      </c>
      <c r="E15" s="30">
        <v>64.8</v>
      </c>
    </row>
    <row r="16" spans="1:5" x14ac:dyDescent="0.25">
      <c r="A16" s="30">
        <v>48</v>
      </c>
      <c r="B16" s="30" t="s">
        <v>24</v>
      </c>
      <c r="C16" s="30">
        <v>103.1</v>
      </c>
      <c r="D16" s="30">
        <v>1.8</v>
      </c>
      <c r="E16" s="30">
        <v>65.900000000000006</v>
      </c>
    </row>
    <row r="17" spans="1:5" x14ac:dyDescent="0.25">
      <c r="A17" s="30">
        <v>57</v>
      </c>
      <c r="B17" s="30" t="s">
        <v>25</v>
      </c>
      <c r="C17" s="30">
        <v>110.6</v>
      </c>
      <c r="D17" s="30">
        <v>-2.8</v>
      </c>
      <c r="E17" s="30">
        <v>50.9</v>
      </c>
    </row>
    <row r="18" spans="1:5" x14ac:dyDescent="0.25">
      <c r="A18" s="30">
        <v>65</v>
      </c>
      <c r="B18" s="30" t="s">
        <v>26</v>
      </c>
      <c r="C18" s="30">
        <v>120.1</v>
      </c>
      <c r="D18" s="30">
        <v>1.7</v>
      </c>
      <c r="E18" s="30">
        <v>51.9</v>
      </c>
    </row>
    <row r="19" spans="1:5" x14ac:dyDescent="0.25">
      <c r="A19" s="30">
        <v>80</v>
      </c>
      <c r="B19" s="30" t="s">
        <v>27</v>
      </c>
      <c r="C19" s="30">
        <v>151.9</v>
      </c>
      <c r="D19" s="30">
        <v>-2</v>
      </c>
      <c r="E19" s="30">
        <v>58.4</v>
      </c>
    </row>
    <row r="20" spans="1:5" x14ac:dyDescent="0.25">
      <c r="A20" s="30">
        <v>5</v>
      </c>
      <c r="B20" s="30" t="s">
        <v>28</v>
      </c>
      <c r="C20" s="30">
        <v>51.8</v>
      </c>
      <c r="D20" s="30">
        <v>-12.9</v>
      </c>
      <c r="E20" s="30">
        <v>37</v>
      </c>
    </row>
    <row r="21" spans="1:5" x14ac:dyDescent="0.25">
      <c r="A21" s="30">
        <v>21</v>
      </c>
      <c r="B21" s="30" t="s">
        <v>29</v>
      </c>
      <c r="C21" s="30">
        <v>79.400000000000006</v>
      </c>
      <c r="D21" s="30">
        <v>-17.3</v>
      </c>
      <c r="E21" s="30">
        <v>48.9</v>
      </c>
    </row>
    <row r="22" spans="1:5" x14ac:dyDescent="0.25">
      <c r="A22" s="30">
        <v>54</v>
      </c>
      <c r="B22" s="30" t="s">
        <v>30</v>
      </c>
      <c r="C22" s="30">
        <v>108.6</v>
      </c>
      <c r="D22" s="30">
        <v>-10.1</v>
      </c>
      <c r="E22" s="30">
        <v>62.6</v>
      </c>
    </row>
    <row r="23" spans="1:5" x14ac:dyDescent="0.25">
      <c r="A23" s="30">
        <v>35</v>
      </c>
      <c r="B23" s="30" t="s">
        <v>31</v>
      </c>
      <c r="C23" s="30">
        <v>94.3</v>
      </c>
      <c r="D23" s="30">
        <v>-16.2</v>
      </c>
      <c r="E23" s="30">
        <v>42.6</v>
      </c>
    </row>
    <row r="24" spans="1:5" x14ac:dyDescent="0.25">
      <c r="A24" s="30">
        <v>37</v>
      </c>
      <c r="B24" s="30" t="s">
        <v>32</v>
      </c>
      <c r="C24" s="30">
        <v>96.2</v>
      </c>
      <c r="D24" s="30">
        <v>-8.5</v>
      </c>
      <c r="E24" s="30">
        <v>50.6</v>
      </c>
    </row>
    <row r="25" spans="1:5" x14ac:dyDescent="0.25">
      <c r="A25" s="30">
        <v>53</v>
      </c>
      <c r="B25" s="30" t="s">
        <v>33</v>
      </c>
      <c r="C25" s="30">
        <v>108</v>
      </c>
      <c r="D25" s="30">
        <v>-2.1</v>
      </c>
      <c r="E25" s="30">
        <v>78.5</v>
      </c>
    </row>
    <row r="26" spans="1:5" x14ac:dyDescent="0.25">
      <c r="A26" s="30">
        <v>8</v>
      </c>
      <c r="B26" s="30" t="s">
        <v>34</v>
      </c>
      <c r="C26" s="30">
        <v>58.1</v>
      </c>
      <c r="D26" s="30">
        <v>8.3000000000000007</v>
      </c>
      <c r="E26" s="30">
        <v>32.4</v>
      </c>
    </row>
    <row r="27" spans="1:5" x14ac:dyDescent="0.25">
      <c r="A27" s="30">
        <v>26</v>
      </c>
      <c r="B27" s="30" t="s">
        <v>35</v>
      </c>
      <c r="C27" s="30">
        <v>81.8</v>
      </c>
      <c r="D27" s="30">
        <v>5.8</v>
      </c>
      <c r="E27" s="30">
        <v>51.5</v>
      </c>
    </row>
    <row r="28" spans="1:5" x14ac:dyDescent="0.25">
      <c r="A28" s="30">
        <v>85</v>
      </c>
      <c r="B28" s="30" t="s">
        <v>36</v>
      </c>
      <c r="C28" s="30">
        <v>240</v>
      </c>
      <c r="D28" s="30">
        <v>-11.6</v>
      </c>
      <c r="E28" s="30">
        <v>93.2</v>
      </c>
    </row>
    <row r="29" spans="1:5" x14ac:dyDescent="0.25">
      <c r="A29" s="30">
        <v>52</v>
      </c>
      <c r="B29" s="30" t="s">
        <v>37</v>
      </c>
      <c r="C29" s="30">
        <v>107.6</v>
      </c>
      <c r="D29" s="30">
        <v>-7.7</v>
      </c>
      <c r="E29" s="30">
        <v>50.1</v>
      </c>
    </row>
    <row r="30" spans="1:5" x14ac:dyDescent="0.25">
      <c r="A30" s="30">
        <v>50</v>
      </c>
      <c r="B30" s="30" t="s">
        <v>38</v>
      </c>
      <c r="C30" s="30">
        <v>105.4</v>
      </c>
      <c r="D30" s="30">
        <v>-7</v>
      </c>
      <c r="E30" s="30">
        <v>65.099999999999994</v>
      </c>
    </row>
    <row r="31" spans="1:5" x14ac:dyDescent="0.25">
      <c r="A31" s="30">
        <v>55</v>
      </c>
      <c r="B31" s="30" t="s">
        <v>39</v>
      </c>
      <c r="C31" s="30">
        <v>108.8</v>
      </c>
      <c r="D31" s="30">
        <v>9.6</v>
      </c>
      <c r="E31" s="30">
        <v>48.4</v>
      </c>
    </row>
    <row r="32" spans="1:5" x14ac:dyDescent="0.25">
      <c r="A32" s="30">
        <v>49</v>
      </c>
      <c r="B32" s="30" t="s">
        <v>40</v>
      </c>
      <c r="C32" s="30">
        <v>105.1</v>
      </c>
      <c r="D32" s="30">
        <v>29.7</v>
      </c>
      <c r="E32" s="30">
        <v>61.9</v>
      </c>
    </row>
    <row r="33" spans="1:5" x14ac:dyDescent="0.25">
      <c r="A33" s="30">
        <v>61</v>
      </c>
      <c r="B33" s="30" t="s">
        <v>41</v>
      </c>
      <c r="C33" s="30">
        <v>114</v>
      </c>
      <c r="D33" s="30">
        <v>-15.1</v>
      </c>
      <c r="E33" s="30">
        <v>54.1</v>
      </c>
    </row>
    <row r="34" spans="1:5" x14ac:dyDescent="0.25">
      <c r="A34" s="30">
        <v>69</v>
      </c>
      <c r="B34" s="30" t="s">
        <v>42</v>
      </c>
      <c r="C34" s="30">
        <v>121.4</v>
      </c>
      <c r="D34" s="30">
        <v>-8.3000000000000007</v>
      </c>
      <c r="E34" s="30">
        <v>45.8</v>
      </c>
    </row>
    <row r="35" spans="1:5" x14ac:dyDescent="0.25">
      <c r="A35" s="30">
        <v>62</v>
      </c>
      <c r="B35" s="30" t="s">
        <v>43</v>
      </c>
      <c r="C35" s="30">
        <v>114.8</v>
      </c>
      <c r="D35" s="30">
        <v>-7.2</v>
      </c>
      <c r="E35" s="30">
        <v>60.7</v>
      </c>
    </row>
    <row r="36" spans="1:5" x14ac:dyDescent="0.25">
      <c r="A36" s="30">
        <v>16</v>
      </c>
      <c r="B36" s="30" t="s">
        <v>44</v>
      </c>
      <c r="C36" s="30">
        <v>76.599999999999994</v>
      </c>
      <c r="D36" s="30">
        <v>6.6</v>
      </c>
      <c r="E36" s="30">
        <v>52.1</v>
      </c>
    </row>
    <row r="37" spans="1:5" x14ac:dyDescent="0.25">
      <c r="A37" s="30">
        <v>75</v>
      </c>
      <c r="B37" s="30" t="s">
        <v>45</v>
      </c>
      <c r="C37" s="30">
        <v>134.69999999999999</v>
      </c>
      <c r="D37" s="30">
        <v>-6.9</v>
      </c>
      <c r="E37" s="30">
        <v>106.1</v>
      </c>
    </row>
    <row r="38" spans="1:5" x14ac:dyDescent="0.25">
      <c r="A38" s="30">
        <v>24</v>
      </c>
      <c r="B38" s="30" t="s">
        <v>46</v>
      </c>
      <c r="C38" s="30">
        <v>81</v>
      </c>
      <c r="D38" s="30">
        <v>3.3</v>
      </c>
      <c r="E38" s="30">
        <v>30.9</v>
      </c>
    </row>
    <row r="39" spans="1:5" x14ac:dyDescent="0.25">
      <c r="A39" s="30">
        <v>20</v>
      </c>
      <c r="B39" s="30" t="s">
        <v>47</v>
      </c>
      <c r="C39" s="30">
        <v>78.3</v>
      </c>
      <c r="D39" s="30">
        <v>-1.2</v>
      </c>
      <c r="E39" s="30">
        <v>32.299999999999997</v>
      </c>
    </row>
    <row r="40" spans="1:5" x14ac:dyDescent="0.25">
      <c r="A40" s="30">
        <v>38</v>
      </c>
      <c r="B40" s="30" t="s">
        <v>48</v>
      </c>
      <c r="C40" s="30">
        <v>98</v>
      </c>
      <c r="D40" s="30">
        <v>-3.7</v>
      </c>
      <c r="E40" s="30">
        <v>57.8</v>
      </c>
    </row>
    <row r="41" spans="1:5" x14ac:dyDescent="0.25">
      <c r="A41" s="30">
        <v>22</v>
      </c>
      <c r="B41" s="30" t="s">
        <v>49</v>
      </c>
      <c r="C41" s="30">
        <v>79.7</v>
      </c>
      <c r="D41" s="30">
        <v>-11.3</v>
      </c>
      <c r="E41" s="30">
        <v>48.6</v>
      </c>
    </row>
    <row r="42" spans="1:5" x14ac:dyDescent="0.25">
      <c r="A42" s="30">
        <v>82</v>
      </c>
      <c r="B42" s="30" t="s">
        <v>50</v>
      </c>
      <c r="C42" s="30">
        <v>153.9</v>
      </c>
      <c r="D42" s="30">
        <v>17.5</v>
      </c>
      <c r="E42" s="30">
        <v>76.3</v>
      </c>
    </row>
    <row r="43" spans="1:5" x14ac:dyDescent="0.25">
      <c r="A43" s="30">
        <v>10</v>
      </c>
      <c r="B43" s="30" t="s">
        <v>51</v>
      </c>
      <c r="C43" s="30">
        <v>67.3</v>
      </c>
      <c r="D43" s="30">
        <v>0</v>
      </c>
      <c r="E43" s="30">
        <v>46.5</v>
      </c>
    </row>
    <row r="44" spans="1:5" x14ac:dyDescent="0.25">
      <c r="A44" s="30">
        <v>33</v>
      </c>
      <c r="B44" s="30" t="s">
        <v>52</v>
      </c>
      <c r="C44" s="30">
        <v>90.6</v>
      </c>
      <c r="D44" s="30">
        <v>-5.5</v>
      </c>
      <c r="E44" s="30">
        <v>69</v>
      </c>
    </row>
    <row r="45" spans="1:5" x14ac:dyDescent="0.25">
      <c r="A45" s="30">
        <v>40</v>
      </c>
      <c r="B45" s="30" t="s">
        <v>53</v>
      </c>
      <c r="C45" s="30">
        <v>98.8</v>
      </c>
      <c r="D45" s="30">
        <v>4</v>
      </c>
      <c r="E45" s="30">
        <v>75.599999999999994</v>
      </c>
    </row>
    <row r="46" spans="1:5" x14ac:dyDescent="0.25">
      <c r="A46" s="30">
        <v>11</v>
      </c>
      <c r="B46" s="30" t="s">
        <v>54</v>
      </c>
      <c r="C46" s="30">
        <v>68.8</v>
      </c>
      <c r="D46" s="30">
        <v>-10.7</v>
      </c>
      <c r="E46" s="30">
        <v>42.6</v>
      </c>
    </row>
    <row r="47" spans="1:5" x14ac:dyDescent="0.25">
      <c r="A47" s="30">
        <v>71</v>
      </c>
      <c r="B47" s="30" t="s">
        <v>55</v>
      </c>
      <c r="C47" s="30">
        <v>123.2</v>
      </c>
      <c r="D47" s="30">
        <v>-7.2</v>
      </c>
      <c r="E47" s="30">
        <v>67.5</v>
      </c>
    </row>
    <row r="48" spans="1:5" x14ac:dyDescent="0.25">
      <c r="A48" s="30">
        <v>23</v>
      </c>
      <c r="B48" s="30" t="s">
        <v>56</v>
      </c>
      <c r="C48" s="30">
        <v>80.5</v>
      </c>
      <c r="D48" s="30">
        <v>-3.7</v>
      </c>
      <c r="E48" s="30">
        <v>51.5</v>
      </c>
    </row>
    <row r="49" spans="1:5" x14ac:dyDescent="0.25">
      <c r="A49" s="30">
        <v>7</v>
      </c>
      <c r="B49" s="30" t="s">
        <v>57</v>
      </c>
      <c r="C49" s="30">
        <v>55.5</v>
      </c>
      <c r="D49" s="30">
        <v>-17.3</v>
      </c>
      <c r="E49" s="30">
        <v>37.200000000000003</v>
      </c>
    </row>
    <row r="50" spans="1:5" x14ac:dyDescent="0.25">
      <c r="A50" s="30">
        <v>76</v>
      </c>
      <c r="B50" s="30" t="s">
        <v>58</v>
      </c>
      <c r="C50" s="30">
        <v>141.4</v>
      </c>
      <c r="D50" s="30">
        <v>-9.6999999999999993</v>
      </c>
      <c r="E50" s="30">
        <v>63.8</v>
      </c>
    </row>
    <row r="51" spans="1:5" x14ac:dyDescent="0.25">
      <c r="A51" s="30">
        <v>15</v>
      </c>
      <c r="B51" s="30" t="s">
        <v>59</v>
      </c>
      <c r="C51" s="30">
        <v>75.099999999999994</v>
      </c>
      <c r="D51" s="30">
        <v>21.6</v>
      </c>
      <c r="E51" s="30">
        <v>41.1</v>
      </c>
    </row>
    <row r="52" spans="1:5" x14ac:dyDescent="0.25">
      <c r="A52" s="30">
        <v>58</v>
      </c>
      <c r="B52" s="30" t="s">
        <v>60</v>
      </c>
      <c r="C52" s="30">
        <v>111</v>
      </c>
      <c r="D52" s="30">
        <v>-21.5</v>
      </c>
      <c r="E52" s="30">
        <v>67.7</v>
      </c>
    </row>
    <row r="53" spans="1:5" x14ac:dyDescent="0.25">
      <c r="A53" s="30">
        <v>68</v>
      </c>
      <c r="B53" s="30" t="s">
        <v>61</v>
      </c>
      <c r="C53" s="30">
        <v>121.3</v>
      </c>
      <c r="D53" s="30">
        <v>-7.5</v>
      </c>
      <c r="E53" s="30">
        <v>79.2</v>
      </c>
    </row>
    <row r="54" spans="1:5" x14ac:dyDescent="0.25">
      <c r="A54" s="30">
        <v>4</v>
      </c>
      <c r="B54" s="30" t="s">
        <v>62</v>
      </c>
      <c r="C54" s="30">
        <v>50.3</v>
      </c>
      <c r="D54" s="30">
        <v>-27.3</v>
      </c>
      <c r="E54" s="30">
        <v>22.5</v>
      </c>
    </row>
    <row r="55" spans="1:5" x14ac:dyDescent="0.25">
      <c r="A55" s="30">
        <v>31</v>
      </c>
      <c r="B55" s="30" t="s">
        <v>63</v>
      </c>
      <c r="C55" s="30">
        <v>90.3</v>
      </c>
      <c r="D55" s="30">
        <v>-15.8</v>
      </c>
      <c r="E55" s="30">
        <v>48.9</v>
      </c>
    </row>
    <row r="56" spans="1:5" x14ac:dyDescent="0.25">
      <c r="A56" s="30">
        <v>6</v>
      </c>
      <c r="B56" s="30" t="s">
        <v>64</v>
      </c>
      <c r="C56" s="30">
        <v>52.2</v>
      </c>
      <c r="D56" s="30">
        <v>-11.9</v>
      </c>
      <c r="E56" s="30">
        <v>29.7</v>
      </c>
    </row>
    <row r="57" spans="1:5" x14ac:dyDescent="0.25">
      <c r="A57" s="30">
        <v>25</v>
      </c>
      <c r="B57" s="30" t="s">
        <v>65</v>
      </c>
      <c r="C57" s="30">
        <v>81.099999999999994</v>
      </c>
      <c r="D57" s="30">
        <v>-0.9</v>
      </c>
      <c r="E57" s="30">
        <v>34.9</v>
      </c>
    </row>
    <row r="58" spans="1:5" x14ac:dyDescent="0.25">
      <c r="A58" s="30">
        <v>32</v>
      </c>
      <c r="B58" s="30" t="s">
        <v>66</v>
      </c>
      <c r="C58" s="30">
        <v>90.4</v>
      </c>
      <c r="D58" s="30">
        <v>-14.8</v>
      </c>
      <c r="E58" s="30">
        <v>64.599999999999994</v>
      </c>
    </row>
    <row r="59" spans="1:5" x14ac:dyDescent="0.25">
      <c r="A59" s="30">
        <v>27</v>
      </c>
      <c r="B59" s="30" t="s">
        <v>68</v>
      </c>
      <c r="C59" s="30">
        <v>82.2</v>
      </c>
      <c r="D59" s="30">
        <v>-9.9</v>
      </c>
      <c r="E59" s="30">
        <v>54.1</v>
      </c>
    </row>
    <row r="60" spans="1:5" x14ac:dyDescent="0.25">
      <c r="A60" s="30">
        <v>59</v>
      </c>
      <c r="B60" s="30" t="s">
        <v>69</v>
      </c>
      <c r="C60" s="30">
        <v>113.4</v>
      </c>
      <c r="D60" s="30">
        <v>-23.9</v>
      </c>
      <c r="E60" s="30">
        <v>63</v>
      </c>
    </row>
    <row r="61" spans="1:5" x14ac:dyDescent="0.25">
      <c r="A61" s="30">
        <v>70</v>
      </c>
      <c r="B61" s="30" t="s">
        <v>70</v>
      </c>
      <c r="C61" s="30">
        <v>122.7</v>
      </c>
      <c r="D61" s="30">
        <v>-13.2</v>
      </c>
      <c r="E61" s="30">
        <v>62.8</v>
      </c>
    </row>
    <row r="62" spans="1:5" x14ac:dyDescent="0.25">
      <c r="A62" s="30">
        <v>29</v>
      </c>
      <c r="B62" s="30" t="s">
        <v>71</v>
      </c>
      <c r="C62" s="30">
        <v>86</v>
      </c>
      <c r="D62" s="30">
        <v>-6.1</v>
      </c>
      <c r="E62" s="30">
        <v>51.9</v>
      </c>
    </row>
    <row r="63" spans="1:5" x14ac:dyDescent="0.25">
      <c r="A63" s="30">
        <v>51</v>
      </c>
      <c r="B63" s="30" t="s">
        <v>72</v>
      </c>
      <c r="C63" s="30">
        <v>106.8</v>
      </c>
      <c r="D63" s="30">
        <v>2.1</v>
      </c>
      <c r="E63" s="30">
        <v>54.6</v>
      </c>
    </row>
    <row r="64" spans="1:5" x14ac:dyDescent="0.25">
      <c r="A64" s="30">
        <v>60</v>
      </c>
      <c r="B64" s="30" t="s">
        <v>73</v>
      </c>
      <c r="C64" s="30">
        <v>114</v>
      </c>
      <c r="D64" s="30">
        <v>-4.4000000000000004</v>
      </c>
      <c r="E64" s="30">
        <v>58.7</v>
      </c>
    </row>
    <row r="65" spans="1:5" x14ac:dyDescent="0.25">
      <c r="A65" s="30">
        <v>72</v>
      </c>
      <c r="B65" s="30" t="s">
        <v>74</v>
      </c>
      <c r="C65" s="30">
        <v>123.3</v>
      </c>
      <c r="D65" s="30">
        <v>-14.6</v>
      </c>
      <c r="E65" s="30">
        <v>61.1</v>
      </c>
    </row>
    <row r="66" spans="1:5" x14ac:dyDescent="0.25">
      <c r="A66" s="30">
        <v>77</v>
      </c>
      <c r="B66" s="30" t="s">
        <v>75</v>
      </c>
      <c r="C66" s="30">
        <v>141.9</v>
      </c>
      <c r="D66" s="30">
        <v>-14</v>
      </c>
      <c r="E66" s="30">
        <v>67.400000000000006</v>
      </c>
    </row>
    <row r="67" spans="1:5" x14ac:dyDescent="0.25">
      <c r="A67" s="30">
        <v>46</v>
      </c>
      <c r="B67" s="30" t="s">
        <v>76</v>
      </c>
      <c r="C67" s="30">
        <v>102.3</v>
      </c>
      <c r="D67" s="30">
        <v>-1.1000000000000001</v>
      </c>
      <c r="E67" s="30">
        <v>55.2</v>
      </c>
    </row>
    <row r="68" spans="1:5" x14ac:dyDescent="0.25">
      <c r="A68" s="30">
        <v>83</v>
      </c>
      <c r="B68" s="30" t="s">
        <v>77</v>
      </c>
      <c r="C68" s="30">
        <v>157.4</v>
      </c>
      <c r="D68" s="30">
        <v>2.1</v>
      </c>
      <c r="E68" s="30">
        <v>61.4</v>
      </c>
    </row>
    <row r="69" spans="1:5" x14ac:dyDescent="0.25">
      <c r="A69" s="30">
        <v>28</v>
      </c>
      <c r="B69" s="30" t="s">
        <v>78</v>
      </c>
      <c r="C69" s="30">
        <v>85.8</v>
      </c>
      <c r="D69" s="30">
        <v>2.4</v>
      </c>
      <c r="E69" s="30">
        <v>78.3</v>
      </c>
    </row>
    <row r="70" spans="1:5" x14ac:dyDescent="0.25">
      <c r="A70" s="30">
        <v>64</v>
      </c>
      <c r="B70" s="30" t="s">
        <v>79</v>
      </c>
      <c r="C70" s="30">
        <v>117</v>
      </c>
      <c r="D70" s="30">
        <v>-6.3</v>
      </c>
      <c r="E70" s="30">
        <v>61.6</v>
      </c>
    </row>
    <row r="71" spans="1:5" x14ac:dyDescent="0.25">
      <c r="A71" s="30">
        <v>18</v>
      </c>
      <c r="B71" s="30" t="s">
        <v>80</v>
      </c>
      <c r="C71" s="30">
        <v>77</v>
      </c>
      <c r="D71" s="30">
        <v>-9.6</v>
      </c>
      <c r="E71" s="30">
        <v>42.7</v>
      </c>
    </row>
    <row r="72" spans="1:5" x14ac:dyDescent="0.25">
      <c r="A72" s="30">
        <v>13</v>
      </c>
      <c r="B72" s="30" t="s">
        <v>81</v>
      </c>
      <c r="C72" s="30">
        <v>71.900000000000006</v>
      </c>
      <c r="D72" s="30">
        <v>-8.5</v>
      </c>
      <c r="E72" s="30">
        <v>39.299999999999997</v>
      </c>
    </row>
    <row r="73" spans="1:5" x14ac:dyDescent="0.25">
      <c r="A73" s="30">
        <v>73</v>
      </c>
      <c r="B73" s="30" t="s">
        <v>82</v>
      </c>
      <c r="C73" s="30">
        <v>126.8</v>
      </c>
      <c r="D73" s="30">
        <v>1.8</v>
      </c>
      <c r="E73" s="30">
        <v>59.9</v>
      </c>
    </row>
    <row r="74" spans="1:5" x14ac:dyDescent="0.25">
      <c r="A74" s="30">
        <v>44</v>
      </c>
      <c r="B74" s="30" t="s">
        <v>83</v>
      </c>
      <c r="C74" s="30">
        <v>101.4</v>
      </c>
      <c r="D74" s="30">
        <v>-2</v>
      </c>
      <c r="E74" s="30">
        <v>52.2</v>
      </c>
    </row>
    <row r="75" spans="1:5" x14ac:dyDescent="0.25">
      <c r="A75" s="30">
        <v>39</v>
      </c>
      <c r="B75" s="30" t="s">
        <v>85</v>
      </c>
      <c r="C75" s="30">
        <v>98.4</v>
      </c>
      <c r="D75" s="30">
        <v>-6.2</v>
      </c>
      <c r="E75" s="30">
        <v>52</v>
      </c>
    </row>
    <row r="76" spans="1:5" x14ac:dyDescent="0.25">
      <c r="A76" s="30">
        <v>79</v>
      </c>
      <c r="B76" s="30" t="s">
        <v>86</v>
      </c>
      <c r="C76" s="30">
        <v>150.5</v>
      </c>
      <c r="D76" s="30">
        <v>2.5</v>
      </c>
      <c r="E76" s="30">
        <v>67.599999999999994</v>
      </c>
    </row>
    <row r="77" spans="1:5" x14ac:dyDescent="0.25">
      <c r="A77" s="30">
        <v>56</v>
      </c>
      <c r="B77" s="30" t="s">
        <v>88</v>
      </c>
      <c r="C77" s="30">
        <v>110.3</v>
      </c>
      <c r="D77" s="30">
        <v>-6.1</v>
      </c>
      <c r="E77" s="30">
        <v>67.400000000000006</v>
      </c>
    </row>
    <row r="78" spans="1:5" x14ac:dyDescent="0.25">
      <c r="A78" s="30">
        <v>47</v>
      </c>
      <c r="B78" s="30" t="s">
        <v>89</v>
      </c>
      <c r="C78" s="30">
        <v>102.7</v>
      </c>
      <c r="D78" s="30">
        <v>-19.600000000000001</v>
      </c>
      <c r="E78" s="30">
        <v>62.4</v>
      </c>
    </row>
    <row r="79" spans="1:5" x14ac:dyDescent="0.25">
      <c r="A79" s="30">
        <v>19</v>
      </c>
      <c r="B79" s="30" t="s">
        <v>90</v>
      </c>
      <c r="C79" s="30">
        <v>77.5</v>
      </c>
      <c r="D79" s="30">
        <v>-2.2000000000000002</v>
      </c>
      <c r="E79" s="30">
        <v>51.8</v>
      </c>
    </row>
    <row r="80" spans="1:5" x14ac:dyDescent="0.25">
      <c r="A80" s="30">
        <v>78</v>
      </c>
      <c r="B80" s="30" t="s">
        <v>91</v>
      </c>
      <c r="C80" s="30">
        <v>150.19999999999999</v>
      </c>
      <c r="D80" s="30">
        <v>-8.9</v>
      </c>
      <c r="E80" s="30">
        <v>79.099999999999994</v>
      </c>
    </row>
    <row r="81" spans="1:5" x14ac:dyDescent="0.25">
      <c r="A81" s="30">
        <v>30</v>
      </c>
      <c r="B81" s="30" t="s">
        <v>92</v>
      </c>
      <c r="C81" s="30">
        <v>86.4</v>
      </c>
      <c r="D81" s="30">
        <v>-21.6</v>
      </c>
      <c r="E81" s="30">
        <v>30.5</v>
      </c>
    </row>
    <row r="82" spans="1:5" x14ac:dyDescent="0.25">
      <c r="A82" s="30">
        <v>12</v>
      </c>
      <c r="B82" s="30" t="s">
        <v>93</v>
      </c>
      <c r="C82" s="30">
        <v>69.400000000000006</v>
      </c>
      <c r="D82" s="30">
        <v>-10.5</v>
      </c>
      <c r="E82" s="30">
        <v>41.4</v>
      </c>
    </row>
    <row r="83" spans="1:5" x14ac:dyDescent="0.25">
      <c r="A83" s="30">
        <v>67</v>
      </c>
      <c r="B83" s="30" t="s">
        <v>94</v>
      </c>
      <c r="C83" s="30">
        <v>120.8</v>
      </c>
      <c r="D83" s="30">
        <v>-15.2</v>
      </c>
      <c r="E83" s="30">
        <v>55.4</v>
      </c>
    </row>
    <row r="84" spans="1:5" x14ac:dyDescent="0.25">
      <c r="A84" s="30">
        <v>17</v>
      </c>
      <c r="B84" s="30" t="s">
        <v>95</v>
      </c>
      <c r="C84" s="30">
        <v>76.900000000000006</v>
      </c>
      <c r="D84" s="30">
        <v>-17.399999999999999</v>
      </c>
      <c r="E84" s="30">
        <v>42.3</v>
      </c>
    </row>
    <row r="85" spans="1:5" x14ac:dyDescent="0.25">
      <c r="A85" s="30">
        <v>84</v>
      </c>
      <c r="B85" s="30" t="s">
        <v>96</v>
      </c>
      <c r="C85" s="30">
        <v>164</v>
      </c>
      <c r="D85" s="30">
        <v>-0.6</v>
      </c>
      <c r="E85" s="30">
        <v>86.5</v>
      </c>
    </row>
    <row r="86" spans="1:5" x14ac:dyDescent="0.25">
      <c r="A86" s="30">
        <v>41</v>
      </c>
      <c r="B86" s="30" t="s">
        <v>97</v>
      </c>
      <c r="C86" s="30">
        <v>99.6</v>
      </c>
      <c r="D86" s="30">
        <v>-4.0999999999999996</v>
      </c>
      <c r="E86" s="30">
        <v>57.4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"/>
  <sheetViews>
    <sheetView workbookViewId="0">
      <selection activeCell="B1" sqref="B1"/>
    </sheetView>
  </sheetViews>
  <sheetFormatPr defaultRowHeight="15" x14ac:dyDescent="0.25"/>
  <cols>
    <col min="1" max="1" width="27.140625" customWidth="1"/>
    <col min="2" max="2" width="31.5703125" customWidth="1"/>
  </cols>
  <sheetData>
    <row r="1" spans="1:2" ht="71.25" x14ac:dyDescent="0.25">
      <c r="A1" s="37" t="s">
        <v>1</v>
      </c>
      <c r="B1" s="38" t="s">
        <v>135</v>
      </c>
    </row>
    <row r="2" spans="1:2" x14ac:dyDescent="0.25">
      <c r="A2" s="30" t="s">
        <v>7</v>
      </c>
      <c r="B2" s="30">
        <v>120.3</v>
      </c>
    </row>
    <row r="3" spans="1:2" x14ac:dyDescent="0.25">
      <c r="A3" s="30" t="s">
        <v>8</v>
      </c>
      <c r="B3" s="30">
        <v>44.2</v>
      </c>
    </row>
    <row r="4" spans="1:2" x14ac:dyDescent="0.25">
      <c r="A4" s="30" t="s">
        <v>9</v>
      </c>
      <c r="B4" s="30">
        <v>74.3</v>
      </c>
    </row>
    <row r="5" spans="1:2" x14ac:dyDescent="0.25">
      <c r="A5" s="30" t="s">
        <v>10</v>
      </c>
      <c r="B5" s="30">
        <v>127.7</v>
      </c>
    </row>
    <row r="6" spans="1:2" x14ac:dyDescent="0.25">
      <c r="A6" s="30" t="s">
        <v>11</v>
      </c>
      <c r="B6" s="30">
        <v>15.6</v>
      </c>
    </row>
    <row r="7" spans="1:2" x14ac:dyDescent="0.25">
      <c r="A7" s="30" t="s">
        <v>12</v>
      </c>
      <c r="B7" s="30">
        <v>99.6</v>
      </c>
    </row>
    <row r="8" spans="1:2" x14ac:dyDescent="0.25">
      <c r="A8" s="30" t="s">
        <v>16</v>
      </c>
      <c r="B8" s="30">
        <v>64.400000000000006</v>
      </c>
    </row>
    <row r="9" spans="1:2" x14ac:dyDescent="0.25">
      <c r="A9" s="30" t="s">
        <v>17</v>
      </c>
      <c r="B9" s="30">
        <v>114.9</v>
      </c>
    </row>
    <row r="10" spans="1:2" x14ac:dyDescent="0.25">
      <c r="A10" s="30" t="s">
        <v>18</v>
      </c>
      <c r="B10" s="30">
        <v>94</v>
      </c>
    </row>
    <row r="11" spans="1:2" x14ac:dyDescent="0.25">
      <c r="A11" s="30" t="s">
        <v>19</v>
      </c>
      <c r="B11" s="30">
        <v>101.4</v>
      </c>
    </row>
    <row r="12" spans="1:2" x14ac:dyDescent="0.25">
      <c r="A12" s="30" t="s">
        <v>20</v>
      </c>
      <c r="B12" s="30">
        <v>152.30000000000001</v>
      </c>
    </row>
    <row r="13" spans="1:2" x14ac:dyDescent="0.25">
      <c r="A13" s="30" t="s">
        <v>21</v>
      </c>
      <c r="B13" s="30">
        <v>101.2</v>
      </c>
    </row>
    <row r="14" spans="1:2" x14ac:dyDescent="0.25">
      <c r="A14" s="30" t="s">
        <v>22</v>
      </c>
      <c r="B14" s="30">
        <v>46.5</v>
      </c>
    </row>
    <row r="15" spans="1:2" x14ac:dyDescent="0.25">
      <c r="A15" s="30" t="s">
        <v>23</v>
      </c>
      <c r="B15" s="30">
        <v>96.1</v>
      </c>
    </row>
    <row r="16" spans="1:2" x14ac:dyDescent="0.25">
      <c r="A16" s="30" t="s">
        <v>24</v>
      </c>
      <c r="B16" s="30">
        <v>103.1</v>
      </c>
    </row>
    <row r="17" spans="1:2" x14ac:dyDescent="0.25">
      <c r="A17" s="30" t="s">
        <v>25</v>
      </c>
      <c r="B17" s="30">
        <v>110.6</v>
      </c>
    </row>
    <row r="18" spans="1:2" x14ac:dyDescent="0.25">
      <c r="A18" s="30" t="s">
        <v>26</v>
      </c>
      <c r="B18" s="30">
        <v>120.1</v>
      </c>
    </row>
    <row r="19" spans="1:2" x14ac:dyDescent="0.25">
      <c r="A19" s="30" t="s">
        <v>27</v>
      </c>
      <c r="B19" s="30">
        <v>151.9</v>
      </c>
    </row>
    <row r="20" spans="1:2" x14ac:dyDescent="0.25">
      <c r="A20" s="30" t="s">
        <v>28</v>
      </c>
      <c r="B20" s="30">
        <v>51.8</v>
      </c>
    </row>
    <row r="21" spans="1:2" x14ac:dyDescent="0.25">
      <c r="A21" s="30" t="s">
        <v>29</v>
      </c>
      <c r="B21" s="30">
        <v>79.400000000000006</v>
      </c>
    </row>
    <row r="22" spans="1:2" x14ac:dyDescent="0.25">
      <c r="A22" s="30" t="s">
        <v>30</v>
      </c>
      <c r="B22" s="30">
        <v>108.6</v>
      </c>
    </row>
    <row r="23" spans="1:2" x14ac:dyDescent="0.25">
      <c r="A23" s="30" t="s">
        <v>31</v>
      </c>
      <c r="B23" s="30">
        <v>94.3</v>
      </c>
    </row>
    <row r="24" spans="1:2" x14ac:dyDescent="0.25">
      <c r="A24" s="30" t="s">
        <v>32</v>
      </c>
      <c r="B24" s="30">
        <v>96.2</v>
      </c>
    </row>
    <row r="25" spans="1:2" x14ac:dyDescent="0.25">
      <c r="A25" s="30" t="s">
        <v>33</v>
      </c>
      <c r="B25" s="30">
        <v>108</v>
      </c>
    </row>
    <row r="26" spans="1:2" x14ac:dyDescent="0.25">
      <c r="A26" s="30" t="s">
        <v>34</v>
      </c>
      <c r="B26" s="30">
        <v>58.1</v>
      </c>
    </row>
    <row r="27" spans="1:2" x14ac:dyDescent="0.25">
      <c r="A27" s="30" t="s">
        <v>35</v>
      </c>
      <c r="B27" s="30">
        <v>81.8</v>
      </c>
    </row>
    <row r="28" spans="1:2" x14ac:dyDescent="0.25">
      <c r="A28" s="30" t="s">
        <v>36</v>
      </c>
      <c r="B28" s="30">
        <v>240</v>
      </c>
    </row>
    <row r="29" spans="1:2" x14ac:dyDescent="0.25">
      <c r="A29" s="30" t="s">
        <v>37</v>
      </c>
      <c r="B29" s="30">
        <v>107.6</v>
      </c>
    </row>
    <row r="30" spans="1:2" x14ac:dyDescent="0.25">
      <c r="A30" s="30" t="s">
        <v>38</v>
      </c>
      <c r="B30" s="30">
        <v>105.4</v>
      </c>
    </row>
    <row r="31" spans="1:2" x14ac:dyDescent="0.25">
      <c r="A31" s="30" t="s">
        <v>39</v>
      </c>
      <c r="B31" s="30">
        <v>108.8</v>
      </c>
    </row>
    <row r="32" spans="1:2" x14ac:dyDescent="0.25">
      <c r="A32" s="30" t="s">
        <v>40</v>
      </c>
      <c r="B32" s="30">
        <v>105.1</v>
      </c>
    </row>
    <row r="33" spans="1:2" x14ac:dyDescent="0.25">
      <c r="A33" s="30" t="s">
        <v>41</v>
      </c>
      <c r="B33" s="30">
        <v>114</v>
      </c>
    </row>
    <row r="34" spans="1:2" x14ac:dyDescent="0.25">
      <c r="A34" s="30" t="s">
        <v>42</v>
      </c>
      <c r="B34" s="30">
        <v>121.4</v>
      </c>
    </row>
    <row r="35" spans="1:2" x14ac:dyDescent="0.25">
      <c r="A35" s="30" t="s">
        <v>43</v>
      </c>
      <c r="B35" s="30">
        <v>114.8</v>
      </c>
    </row>
    <row r="36" spans="1:2" x14ac:dyDescent="0.25">
      <c r="A36" s="30" t="s">
        <v>44</v>
      </c>
      <c r="B36" s="30">
        <v>76.599999999999994</v>
      </c>
    </row>
    <row r="37" spans="1:2" x14ac:dyDescent="0.25">
      <c r="A37" s="30" t="s">
        <v>45</v>
      </c>
      <c r="B37" s="30">
        <v>134.69999999999999</v>
      </c>
    </row>
    <row r="38" spans="1:2" x14ac:dyDescent="0.25">
      <c r="A38" s="30" t="s">
        <v>46</v>
      </c>
      <c r="B38" s="30">
        <v>81</v>
      </c>
    </row>
    <row r="39" spans="1:2" x14ac:dyDescent="0.25">
      <c r="A39" s="30" t="s">
        <v>47</v>
      </c>
      <c r="B39" s="30">
        <v>78.3</v>
      </c>
    </row>
    <row r="40" spans="1:2" x14ac:dyDescent="0.25">
      <c r="A40" s="30" t="s">
        <v>48</v>
      </c>
      <c r="B40" s="30">
        <v>98</v>
      </c>
    </row>
    <row r="41" spans="1:2" x14ac:dyDescent="0.25">
      <c r="A41" s="30" t="s">
        <v>49</v>
      </c>
      <c r="B41" s="30">
        <v>79.7</v>
      </c>
    </row>
    <row r="42" spans="1:2" x14ac:dyDescent="0.25">
      <c r="A42" s="30" t="s">
        <v>50</v>
      </c>
      <c r="B42" s="30">
        <v>153.9</v>
      </c>
    </row>
    <row r="43" spans="1:2" x14ac:dyDescent="0.25">
      <c r="A43" s="30" t="s">
        <v>51</v>
      </c>
      <c r="B43" s="30">
        <v>67.3</v>
      </c>
    </row>
    <row r="44" spans="1:2" x14ac:dyDescent="0.25">
      <c r="A44" s="30" t="s">
        <v>52</v>
      </c>
      <c r="B44" s="30">
        <v>90.6</v>
      </c>
    </row>
    <row r="45" spans="1:2" x14ac:dyDescent="0.25">
      <c r="A45" s="30" t="s">
        <v>53</v>
      </c>
      <c r="B45" s="30">
        <v>98.8</v>
      </c>
    </row>
    <row r="46" spans="1:2" x14ac:dyDescent="0.25">
      <c r="A46" s="30" t="s">
        <v>54</v>
      </c>
      <c r="B46" s="30">
        <v>68.8</v>
      </c>
    </row>
    <row r="47" spans="1:2" x14ac:dyDescent="0.25">
      <c r="A47" s="30" t="s">
        <v>55</v>
      </c>
      <c r="B47" s="30">
        <v>123.2</v>
      </c>
    </row>
    <row r="48" spans="1:2" x14ac:dyDescent="0.25">
      <c r="A48" s="30" t="s">
        <v>56</v>
      </c>
      <c r="B48" s="30">
        <v>80.5</v>
      </c>
    </row>
    <row r="49" spans="1:2" x14ac:dyDescent="0.25">
      <c r="A49" s="30" t="s">
        <v>57</v>
      </c>
      <c r="B49" s="30">
        <v>55.5</v>
      </c>
    </row>
    <row r="50" spans="1:2" x14ac:dyDescent="0.25">
      <c r="A50" s="30" t="s">
        <v>58</v>
      </c>
      <c r="B50" s="30">
        <v>141.4</v>
      </c>
    </row>
    <row r="51" spans="1:2" x14ac:dyDescent="0.25">
      <c r="A51" s="30" t="s">
        <v>59</v>
      </c>
      <c r="B51" s="30">
        <v>75.099999999999994</v>
      </c>
    </row>
    <row r="52" spans="1:2" x14ac:dyDescent="0.25">
      <c r="A52" s="30" t="s">
        <v>60</v>
      </c>
      <c r="B52" s="30">
        <v>111</v>
      </c>
    </row>
    <row r="53" spans="1:2" x14ac:dyDescent="0.25">
      <c r="A53" s="30" t="s">
        <v>61</v>
      </c>
      <c r="B53" s="30">
        <v>121.3</v>
      </c>
    </row>
    <row r="54" spans="1:2" x14ac:dyDescent="0.25">
      <c r="A54" s="30" t="s">
        <v>62</v>
      </c>
      <c r="B54" s="30">
        <v>50.3</v>
      </c>
    </row>
    <row r="55" spans="1:2" x14ac:dyDescent="0.25">
      <c r="A55" s="30" t="s">
        <v>63</v>
      </c>
      <c r="B55" s="30">
        <v>90.3</v>
      </c>
    </row>
    <row r="56" spans="1:2" x14ac:dyDescent="0.25">
      <c r="A56" s="30" t="s">
        <v>64</v>
      </c>
      <c r="B56" s="30">
        <v>52.2</v>
      </c>
    </row>
    <row r="57" spans="1:2" x14ac:dyDescent="0.25">
      <c r="A57" s="30" t="s">
        <v>65</v>
      </c>
      <c r="B57" s="30">
        <v>81.099999999999994</v>
      </c>
    </row>
    <row r="58" spans="1:2" x14ac:dyDescent="0.25">
      <c r="A58" s="30" t="s">
        <v>66</v>
      </c>
      <c r="B58" s="30">
        <v>90.4</v>
      </c>
    </row>
    <row r="59" spans="1:2" x14ac:dyDescent="0.25">
      <c r="A59" s="30" t="s">
        <v>68</v>
      </c>
      <c r="B59" s="30">
        <v>82.2</v>
      </c>
    </row>
    <row r="60" spans="1:2" x14ac:dyDescent="0.25">
      <c r="A60" s="30" t="s">
        <v>69</v>
      </c>
      <c r="B60" s="30">
        <v>113.4</v>
      </c>
    </row>
    <row r="61" spans="1:2" x14ac:dyDescent="0.25">
      <c r="A61" s="30" t="s">
        <v>70</v>
      </c>
      <c r="B61" s="30">
        <v>122.7</v>
      </c>
    </row>
    <row r="62" spans="1:2" x14ac:dyDescent="0.25">
      <c r="A62" s="30" t="s">
        <v>71</v>
      </c>
      <c r="B62" s="30">
        <v>86</v>
      </c>
    </row>
    <row r="63" spans="1:2" x14ac:dyDescent="0.25">
      <c r="A63" s="30" t="s">
        <v>72</v>
      </c>
      <c r="B63" s="30">
        <v>106.8</v>
      </c>
    </row>
    <row r="64" spans="1:2" x14ac:dyDescent="0.25">
      <c r="A64" s="30" t="s">
        <v>73</v>
      </c>
      <c r="B64" s="30">
        <v>114</v>
      </c>
    </row>
    <row r="65" spans="1:2" x14ac:dyDescent="0.25">
      <c r="A65" s="30" t="s">
        <v>74</v>
      </c>
      <c r="B65" s="30">
        <v>123.3</v>
      </c>
    </row>
    <row r="66" spans="1:2" x14ac:dyDescent="0.25">
      <c r="A66" s="30" t="s">
        <v>75</v>
      </c>
      <c r="B66" s="30">
        <v>141.9</v>
      </c>
    </row>
    <row r="67" spans="1:2" x14ac:dyDescent="0.25">
      <c r="A67" s="30" t="s">
        <v>76</v>
      </c>
      <c r="B67" s="30">
        <v>102.3</v>
      </c>
    </row>
    <row r="68" spans="1:2" x14ac:dyDescent="0.25">
      <c r="A68" s="30" t="s">
        <v>77</v>
      </c>
      <c r="B68" s="30">
        <v>157.4</v>
      </c>
    </row>
    <row r="69" spans="1:2" x14ac:dyDescent="0.25">
      <c r="A69" s="30" t="s">
        <v>78</v>
      </c>
      <c r="B69" s="30">
        <v>85.8</v>
      </c>
    </row>
    <row r="70" spans="1:2" x14ac:dyDescent="0.25">
      <c r="A70" s="30" t="s">
        <v>79</v>
      </c>
      <c r="B70" s="30">
        <v>117</v>
      </c>
    </row>
    <row r="71" spans="1:2" x14ac:dyDescent="0.25">
      <c r="A71" s="30" t="s">
        <v>80</v>
      </c>
      <c r="B71" s="30">
        <v>77</v>
      </c>
    </row>
    <row r="72" spans="1:2" x14ac:dyDescent="0.25">
      <c r="A72" s="30" t="s">
        <v>81</v>
      </c>
      <c r="B72" s="30">
        <v>71.900000000000006</v>
      </c>
    </row>
    <row r="73" spans="1:2" x14ac:dyDescent="0.25">
      <c r="A73" s="30" t="s">
        <v>82</v>
      </c>
      <c r="B73" s="30">
        <v>126.8</v>
      </c>
    </row>
    <row r="74" spans="1:2" x14ac:dyDescent="0.25">
      <c r="A74" s="30" t="s">
        <v>83</v>
      </c>
      <c r="B74" s="30">
        <v>101.4</v>
      </c>
    </row>
    <row r="75" spans="1:2" x14ac:dyDescent="0.25">
      <c r="A75" s="30" t="s">
        <v>85</v>
      </c>
      <c r="B75" s="30">
        <v>98.4</v>
      </c>
    </row>
    <row r="76" spans="1:2" x14ac:dyDescent="0.25">
      <c r="A76" s="30" t="s">
        <v>86</v>
      </c>
      <c r="B76" s="30">
        <v>150.5</v>
      </c>
    </row>
    <row r="77" spans="1:2" x14ac:dyDescent="0.25">
      <c r="A77" s="30" t="s">
        <v>88</v>
      </c>
      <c r="B77" s="30">
        <v>110.3</v>
      </c>
    </row>
    <row r="78" spans="1:2" x14ac:dyDescent="0.25">
      <c r="A78" s="30" t="s">
        <v>89</v>
      </c>
      <c r="B78" s="30">
        <v>102.7</v>
      </c>
    </row>
    <row r="79" spans="1:2" x14ac:dyDescent="0.25">
      <c r="A79" s="30" t="s">
        <v>90</v>
      </c>
      <c r="B79" s="30">
        <v>77.5</v>
      </c>
    </row>
    <row r="80" spans="1:2" x14ac:dyDescent="0.25">
      <c r="A80" s="30" t="s">
        <v>91</v>
      </c>
      <c r="B80" s="30">
        <v>150.19999999999999</v>
      </c>
    </row>
    <row r="81" spans="1:2" x14ac:dyDescent="0.25">
      <c r="A81" s="30" t="s">
        <v>92</v>
      </c>
      <c r="B81" s="30">
        <v>86.4</v>
      </c>
    </row>
    <row r="82" spans="1:2" x14ac:dyDescent="0.25">
      <c r="A82" s="30" t="s">
        <v>93</v>
      </c>
      <c r="B82" s="30">
        <v>69.400000000000006</v>
      </c>
    </row>
    <row r="83" spans="1:2" x14ac:dyDescent="0.25">
      <c r="A83" s="30" t="s">
        <v>94</v>
      </c>
      <c r="B83" s="30">
        <v>120.8</v>
      </c>
    </row>
    <row r="84" spans="1:2" x14ac:dyDescent="0.25">
      <c r="A84" s="30" t="s">
        <v>95</v>
      </c>
      <c r="B84" s="30">
        <v>76.900000000000006</v>
      </c>
    </row>
    <row r="85" spans="1:2" x14ac:dyDescent="0.25">
      <c r="A85" s="30" t="s">
        <v>96</v>
      </c>
      <c r="B85" s="30">
        <v>164</v>
      </c>
    </row>
    <row r="86" spans="1:2" x14ac:dyDescent="0.25">
      <c r="A86" s="30" t="s">
        <v>97</v>
      </c>
      <c r="B86" s="30">
        <v>99.6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>
      <selection activeCell="C1" sqref="C1"/>
    </sheetView>
  </sheetViews>
  <sheetFormatPr defaultRowHeight="15" x14ac:dyDescent="0.25"/>
  <cols>
    <col min="2" max="2" width="19.85546875" customWidth="1"/>
  </cols>
  <sheetData>
    <row r="1" spans="1:6" ht="180" x14ac:dyDescent="0.25">
      <c r="A1" s="39" t="s">
        <v>0</v>
      </c>
      <c r="B1" s="39" t="s">
        <v>138</v>
      </c>
      <c r="C1" s="39" t="s">
        <v>139</v>
      </c>
      <c r="D1" s="39" t="s">
        <v>140</v>
      </c>
      <c r="E1" s="39" t="s">
        <v>141</v>
      </c>
      <c r="F1" s="39" t="s">
        <v>142</v>
      </c>
    </row>
    <row r="2" spans="1:6" x14ac:dyDescent="0.25">
      <c r="A2" s="30">
        <v>84</v>
      </c>
      <c r="B2" s="30" t="s">
        <v>7</v>
      </c>
      <c r="C2" s="30">
        <v>504</v>
      </c>
      <c r="D2" s="30">
        <v>4.8</v>
      </c>
      <c r="E2" s="30">
        <v>228</v>
      </c>
      <c r="F2" s="30">
        <v>58</v>
      </c>
    </row>
    <row r="3" spans="1:6" x14ac:dyDescent="0.25">
      <c r="A3" s="30">
        <v>6</v>
      </c>
      <c r="B3" s="30" t="s">
        <v>8</v>
      </c>
      <c r="C3" s="30">
        <v>183</v>
      </c>
      <c r="D3" s="30">
        <v>-9.1999999999999993</v>
      </c>
      <c r="E3" s="30">
        <v>109</v>
      </c>
      <c r="F3" s="30">
        <v>59</v>
      </c>
    </row>
    <row r="4" spans="1:6" x14ac:dyDescent="0.25">
      <c r="A4" s="30">
        <v>2</v>
      </c>
      <c r="B4" s="30" t="s">
        <v>9</v>
      </c>
      <c r="C4" s="30">
        <v>139</v>
      </c>
      <c r="D4" s="30">
        <v>-50</v>
      </c>
      <c r="E4" s="30">
        <v>36</v>
      </c>
      <c r="F4" s="30">
        <v>56</v>
      </c>
    </row>
    <row r="5" spans="1:6" x14ac:dyDescent="0.25">
      <c r="A5" s="30">
        <v>59</v>
      </c>
      <c r="B5" s="30" t="s">
        <v>10</v>
      </c>
      <c r="C5" s="30">
        <v>363</v>
      </c>
      <c r="D5" s="30">
        <v>-1.1000000000000001</v>
      </c>
      <c r="E5" s="30">
        <v>145</v>
      </c>
      <c r="F5" s="30">
        <v>75</v>
      </c>
    </row>
    <row r="6" spans="1:6" x14ac:dyDescent="0.25">
      <c r="A6" s="30">
        <v>1</v>
      </c>
      <c r="B6" s="30" t="s">
        <v>11</v>
      </c>
      <c r="C6" s="30">
        <v>76</v>
      </c>
      <c r="D6" s="30">
        <v>14.5</v>
      </c>
      <c r="E6" s="30">
        <v>34</v>
      </c>
      <c r="F6" s="30">
        <v>251</v>
      </c>
    </row>
    <row r="7" spans="1:6" x14ac:dyDescent="0.25">
      <c r="A7" s="30">
        <v>40</v>
      </c>
      <c r="B7" s="30" t="s">
        <v>12</v>
      </c>
      <c r="C7" s="30">
        <v>322</v>
      </c>
      <c r="D7" s="30">
        <v>0</v>
      </c>
      <c r="E7" s="30">
        <v>173</v>
      </c>
      <c r="F7" s="30">
        <v>67</v>
      </c>
    </row>
    <row r="8" spans="1:6" x14ac:dyDescent="0.25">
      <c r="A8" s="30">
        <v>14</v>
      </c>
      <c r="B8" s="30" t="s">
        <v>16</v>
      </c>
      <c r="C8" s="30">
        <v>212</v>
      </c>
      <c r="D8" s="30">
        <v>-2.2999999999999998</v>
      </c>
      <c r="E8" s="30">
        <v>150</v>
      </c>
      <c r="F8" s="30">
        <v>66</v>
      </c>
    </row>
    <row r="9" spans="1:6" x14ac:dyDescent="0.25">
      <c r="A9" s="30">
        <v>74</v>
      </c>
      <c r="B9" s="30" t="s">
        <v>17</v>
      </c>
      <c r="C9" s="30">
        <v>415</v>
      </c>
      <c r="D9" s="30">
        <v>-2.6</v>
      </c>
      <c r="E9" s="30">
        <v>194</v>
      </c>
      <c r="F9" s="30">
        <v>58</v>
      </c>
    </row>
    <row r="10" spans="1:6" x14ac:dyDescent="0.25">
      <c r="A10" s="30">
        <v>28</v>
      </c>
      <c r="B10" s="30" t="s">
        <v>18</v>
      </c>
      <c r="C10" s="30">
        <v>293</v>
      </c>
      <c r="D10" s="30">
        <v>-3.9</v>
      </c>
      <c r="E10" s="30">
        <v>151</v>
      </c>
      <c r="F10" s="30">
        <v>94</v>
      </c>
    </row>
    <row r="11" spans="1:6" x14ac:dyDescent="0.25">
      <c r="A11" s="30">
        <v>66</v>
      </c>
      <c r="B11" s="30" t="s">
        <v>19</v>
      </c>
      <c r="C11" s="30">
        <v>397</v>
      </c>
      <c r="D11" s="30">
        <v>4.5999999999999996</v>
      </c>
      <c r="E11" s="30">
        <v>191</v>
      </c>
      <c r="F11" s="30">
        <v>63</v>
      </c>
    </row>
    <row r="12" spans="1:6" x14ac:dyDescent="0.25">
      <c r="A12" s="30">
        <v>80</v>
      </c>
      <c r="B12" s="30" t="s">
        <v>20</v>
      </c>
      <c r="C12" s="30">
        <v>455</v>
      </c>
      <c r="D12" s="30">
        <v>0</v>
      </c>
      <c r="E12" s="30">
        <v>265</v>
      </c>
      <c r="F12" s="30">
        <v>44</v>
      </c>
    </row>
    <row r="13" spans="1:6" x14ac:dyDescent="0.25">
      <c r="A13" s="30">
        <v>41</v>
      </c>
      <c r="B13" s="30" t="s">
        <v>21</v>
      </c>
      <c r="C13" s="30">
        <v>322</v>
      </c>
      <c r="D13" s="30">
        <v>-3.6</v>
      </c>
      <c r="E13" s="30">
        <v>213</v>
      </c>
      <c r="F13" s="30">
        <v>88</v>
      </c>
    </row>
    <row r="14" spans="1:6" x14ac:dyDescent="0.25">
      <c r="A14" s="30">
        <v>9</v>
      </c>
      <c r="B14" s="30" t="s">
        <v>22</v>
      </c>
      <c r="C14" s="30">
        <v>191</v>
      </c>
      <c r="D14" s="30">
        <v>-5.0999999999999996</v>
      </c>
      <c r="E14" s="30">
        <v>93</v>
      </c>
      <c r="F14" s="30">
        <v>106</v>
      </c>
    </row>
    <row r="15" spans="1:6" x14ac:dyDescent="0.25">
      <c r="A15" s="30">
        <v>53</v>
      </c>
      <c r="B15" s="30" t="s">
        <v>23</v>
      </c>
      <c r="C15" s="30">
        <v>341</v>
      </c>
      <c r="D15" s="30">
        <v>7.6</v>
      </c>
      <c r="E15" s="30">
        <v>212</v>
      </c>
      <c r="F15" s="30">
        <v>66</v>
      </c>
    </row>
    <row r="16" spans="1:6" x14ac:dyDescent="0.25">
      <c r="A16" s="30">
        <v>49</v>
      </c>
      <c r="B16" s="30" t="s">
        <v>24</v>
      </c>
      <c r="C16" s="30">
        <v>334</v>
      </c>
      <c r="D16" s="30">
        <v>-5.9</v>
      </c>
      <c r="E16" s="30">
        <v>187</v>
      </c>
      <c r="F16" s="30">
        <v>81</v>
      </c>
    </row>
    <row r="17" spans="1:6" x14ac:dyDescent="0.25">
      <c r="A17" s="30">
        <v>44</v>
      </c>
      <c r="B17" s="30" t="s">
        <v>25</v>
      </c>
      <c r="C17" s="30">
        <v>323</v>
      </c>
      <c r="D17" s="30">
        <v>-6.5</v>
      </c>
      <c r="E17" s="30">
        <v>158</v>
      </c>
      <c r="F17" s="30">
        <v>90</v>
      </c>
    </row>
    <row r="18" spans="1:6" x14ac:dyDescent="0.25">
      <c r="A18" s="30">
        <v>56</v>
      </c>
      <c r="B18" s="30" t="s">
        <v>26</v>
      </c>
      <c r="C18" s="30">
        <v>351</v>
      </c>
      <c r="D18" s="30">
        <v>-0.2</v>
      </c>
      <c r="E18" s="30">
        <v>149</v>
      </c>
      <c r="F18" s="30">
        <v>91</v>
      </c>
    </row>
    <row r="19" spans="1:6" x14ac:dyDescent="0.25">
      <c r="A19" s="30">
        <v>67</v>
      </c>
      <c r="B19" s="30" t="s">
        <v>27</v>
      </c>
      <c r="C19" s="30">
        <v>399</v>
      </c>
      <c r="D19" s="30">
        <v>14.4</v>
      </c>
      <c r="E19" s="30">
        <v>177</v>
      </c>
      <c r="F19" s="30">
        <v>23</v>
      </c>
    </row>
    <row r="20" spans="1:6" x14ac:dyDescent="0.25">
      <c r="A20" s="30">
        <v>3</v>
      </c>
      <c r="B20" s="30" t="s">
        <v>28</v>
      </c>
      <c r="C20" s="30">
        <v>150</v>
      </c>
      <c r="D20" s="30">
        <v>7.2</v>
      </c>
      <c r="E20" s="30">
        <v>101</v>
      </c>
      <c r="F20" s="30">
        <v>92</v>
      </c>
    </row>
    <row r="21" spans="1:6" x14ac:dyDescent="0.25">
      <c r="A21" s="30">
        <v>39</v>
      </c>
      <c r="B21" s="30" t="s">
        <v>29</v>
      </c>
      <c r="C21" s="30">
        <v>319</v>
      </c>
      <c r="D21" s="30">
        <v>-13.5</v>
      </c>
      <c r="E21" s="30">
        <v>184</v>
      </c>
      <c r="F21" s="30">
        <v>89</v>
      </c>
    </row>
    <row r="22" spans="1:6" x14ac:dyDescent="0.25">
      <c r="A22" s="30">
        <v>47</v>
      </c>
      <c r="B22" s="30" t="s">
        <v>30</v>
      </c>
      <c r="C22" s="30">
        <v>328</v>
      </c>
      <c r="D22" s="30">
        <v>-1.7</v>
      </c>
      <c r="E22" s="30">
        <v>187</v>
      </c>
      <c r="F22" s="30">
        <v>64</v>
      </c>
    </row>
    <row r="23" spans="1:6" x14ac:dyDescent="0.25">
      <c r="A23" s="30">
        <v>48</v>
      </c>
      <c r="B23" s="30" t="s">
        <v>31</v>
      </c>
      <c r="C23" s="30">
        <v>333</v>
      </c>
      <c r="D23" s="30">
        <v>2.6</v>
      </c>
      <c r="E23" s="30">
        <v>151</v>
      </c>
      <c r="F23" s="30">
        <v>28</v>
      </c>
    </row>
    <row r="24" spans="1:6" x14ac:dyDescent="0.25">
      <c r="A24" s="30">
        <v>36</v>
      </c>
      <c r="B24" s="30" t="s">
        <v>32</v>
      </c>
      <c r="C24" s="30">
        <v>316</v>
      </c>
      <c r="D24" s="30">
        <v>-6.7</v>
      </c>
      <c r="E24" s="30">
        <v>164</v>
      </c>
      <c r="F24" s="30">
        <v>57</v>
      </c>
    </row>
    <row r="25" spans="1:6" x14ac:dyDescent="0.25">
      <c r="A25" s="30">
        <v>55</v>
      </c>
      <c r="B25" s="30" t="s">
        <v>33</v>
      </c>
      <c r="C25" s="30">
        <v>349</v>
      </c>
      <c r="D25" s="30">
        <v>0.1</v>
      </c>
      <c r="E25" s="30">
        <v>246</v>
      </c>
      <c r="F25" s="30">
        <v>87</v>
      </c>
    </row>
    <row r="26" spans="1:6" x14ac:dyDescent="0.25">
      <c r="A26" s="30">
        <v>5</v>
      </c>
      <c r="B26" s="30" t="s">
        <v>34</v>
      </c>
      <c r="C26" s="30">
        <v>183</v>
      </c>
      <c r="D26" s="30">
        <v>-21.9</v>
      </c>
      <c r="E26" s="30">
        <v>102</v>
      </c>
      <c r="F26" s="30">
        <v>103</v>
      </c>
    </row>
    <row r="27" spans="1:6" x14ac:dyDescent="0.25">
      <c r="A27" s="30">
        <v>12</v>
      </c>
      <c r="B27" s="30" t="s">
        <v>35</v>
      </c>
      <c r="C27" s="30">
        <v>207</v>
      </c>
      <c r="D27" s="30">
        <v>-6.4</v>
      </c>
      <c r="E27" s="30">
        <v>133</v>
      </c>
      <c r="F27" s="30">
        <v>76</v>
      </c>
    </row>
    <row r="28" spans="1:6" x14ac:dyDescent="0.25">
      <c r="A28" s="30">
        <v>85</v>
      </c>
      <c r="B28" s="30" t="s">
        <v>36</v>
      </c>
      <c r="C28" s="30">
        <v>858</v>
      </c>
      <c r="D28" s="30">
        <v>-6.8</v>
      </c>
      <c r="E28" s="30">
        <v>265</v>
      </c>
      <c r="F28" s="30">
        <v>121</v>
      </c>
    </row>
    <row r="29" spans="1:6" x14ac:dyDescent="0.25">
      <c r="A29" s="30">
        <v>51</v>
      </c>
      <c r="B29" s="30" t="s">
        <v>37</v>
      </c>
      <c r="C29" s="30">
        <v>339</v>
      </c>
      <c r="D29" s="30">
        <v>-1.9</v>
      </c>
      <c r="E29" s="30">
        <v>154</v>
      </c>
      <c r="F29" s="30">
        <v>62</v>
      </c>
    </row>
    <row r="30" spans="1:6" x14ac:dyDescent="0.25">
      <c r="A30" s="30">
        <v>34</v>
      </c>
      <c r="B30" s="30" t="s">
        <v>38</v>
      </c>
      <c r="C30" s="30">
        <v>313</v>
      </c>
      <c r="D30" s="30">
        <v>-7.5</v>
      </c>
      <c r="E30" s="30">
        <v>190</v>
      </c>
      <c r="F30" s="30">
        <v>66</v>
      </c>
    </row>
    <row r="31" spans="1:6" x14ac:dyDescent="0.25">
      <c r="A31" s="30">
        <v>25</v>
      </c>
      <c r="B31" s="30" t="s">
        <v>39</v>
      </c>
      <c r="C31" s="30">
        <v>259</v>
      </c>
      <c r="D31" s="30">
        <v>-20.2</v>
      </c>
      <c r="E31" s="30">
        <v>117</v>
      </c>
      <c r="F31" s="30">
        <v>74</v>
      </c>
    </row>
    <row r="32" spans="1:6" x14ac:dyDescent="0.25">
      <c r="A32" s="30">
        <v>50</v>
      </c>
      <c r="B32" s="30" t="s">
        <v>40</v>
      </c>
      <c r="C32" s="30">
        <v>334</v>
      </c>
      <c r="D32" s="30">
        <v>-9.4</v>
      </c>
      <c r="E32" s="30">
        <v>189</v>
      </c>
      <c r="F32" s="30">
        <v>92</v>
      </c>
    </row>
    <row r="33" spans="1:6" x14ac:dyDescent="0.25">
      <c r="A33" s="30">
        <v>77</v>
      </c>
      <c r="B33" s="30" t="s">
        <v>41</v>
      </c>
      <c r="C33" s="30">
        <v>427</v>
      </c>
      <c r="D33" s="30">
        <v>11.7</v>
      </c>
      <c r="E33" s="30">
        <v>191</v>
      </c>
      <c r="F33" s="30">
        <v>70</v>
      </c>
    </row>
    <row r="34" spans="1:6" x14ac:dyDescent="0.25">
      <c r="A34" s="30">
        <v>70</v>
      </c>
      <c r="B34" s="30" t="s">
        <v>42</v>
      </c>
      <c r="C34" s="30">
        <v>408</v>
      </c>
      <c r="D34" s="30">
        <v>-7.2</v>
      </c>
      <c r="E34" s="30">
        <v>145</v>
      </c>
      <c r="F34" s="30">
        <v>101</v>
      </c>
    </row>
    <row r="35" spans="1:6" x14ac:dyDescent="0.25">
      <c r="A35" s="30">
        <v>42</v>
      </c>
      <c r="B35" s="30" t="s">
        <v>43</v>
      </c>
      <c r="C35" s="30">
        <v>323</v>
      </c>
      <c r="D35" s="30">
        <v>-7.9</v>
      </c>
      <c r="E35" s="30">
        <v>173</v>
      </c>
      <c r="F35" s="30">
        <v>46</v>
      </c>
    </row>
    <row r="36" spans="1:6" x14ac:dyDescent="0.25">
      <c r="A36" s="30">
        <v>22</v>
      </c>
      <c r="B36" s="30" t="s">
        <v>44</v>
      </c>
      <c r="C36" s="30">
        <v>244</v>
      </c>
      <c r="D36" s="30">
        <v>-7.4</v>
      </c>
      <c r="E36" s="30">
        <v>164</v>
      </c>
      <c r="F36" s="30">
        <v>80</v>
      </c>
    </row>
    <row r="37" spans="1:6" x14ac:dyDescent="0.25">
      <c r="A37" s="30">
        <v>63</v>
      </c>
      <c r="B37" s="30" t="s">
        <v>45</v>
      </c>
      <c r="C37" s="30">
        <v>384</v>
      </c>
      <c r="D37" s="30">
        <v>-5.9</v>
      </c>
      <c r="E37" s="30">
        <v>275</v>
      </c>
      <c r="F37" s="30">
        <v>107</v>
      </c>
    </row>
    <row r="38" spans="1:6" x14ac:dyDescent="0.25">
      <c r="A38" s="30">
        <v>4</v>
      </c>
      <c r="B38" s="30" t="s">
        <v>46</v>
      </c>
      <c r="C38" s="30">
        <v>158</v>
      </c>
      <c r="D38" s="30">
        <v>-11.7</v>
      </c>
      <c r="E38" s="30">
        <v>73</v>
      </c>
      <c r="F38" s="30">
        <v>160</v>
      </c>
    </row>
    <row r="39" spans="1:6" x14ac:dyDescent="0.25">
      <c r="A39" s="30">
        <v>10</v>
      </c>
      <c r="B39" s="30" t="s">
        <v>47</v>
      </c>
      <c r="C39" s="30">
        <v>198</v>
      </c>
      <c r="D39" s="30">
        <v>-8.1999999999999993</v>
      </c>
      <c r="E39" s="30">
        <v>84</v>
      </c>
      <c r="F39" s="30">
        <v>135</v>
      </c>
    </row>
    <row r="40" spans="1:6" x14ac:dyDescent="0.25">
      <c r="A40" s="30">
        <v>33</v>
      </c>
      <c r="B40" s="30" t="s">
        <v>48</v>
      </c>
      <c r="C40" s="30">
        <v>312</v>
      </c>
      <c r="D40" s="30">
        <v>-6.8</v>
      </c>
      <c r="E40" s="30">
        <v>165</v>
      </c>
      <c r="F40" s="30">
        <v>81</v>
      </c>
    </row>
    <row r="41" spans="1:6" x14ac:dyDescent="0.25">
      <c r="A41" s="30">
        <v>24</v>
      </c>
      <c r="B41" s="30" t="s">
        <v>49</v>
      </c>
      <c r="C41" s="30">
        <v>253</v>
      </c>
      <c r="D41" s="30">
        <v>-2.7</v>
      </c>
      <c r="E41" s="30">
        <v>146</v>
      </c>
      <c r="F41" s="30">
        <v>79</v>
      </c>
    </row>
    <row r="42" spans="1:6" x14ac:dyDescent="0.25">
      <c r="A42" s="30">
        <v>71</v>
      </c>
      <c r="B42" s="30" t="s">
        <v>50</v>
      </c>
      <c r="C42" s="30">
        <v>408</v>
      </c>
      <c r="D42" s="30">
        <v>5.8</v>
      </c>
      <c r="E42" s="30">
        <v>228</v>
      </c>
      <c r="F42" s="30">
        <v>84</v>
      </c>
    </row>
    <row r="43" spans="1:6" x14ac:dyDescent="0.25">
      <c r="A43" s="30">
        <v>16</v>
      </c>
      <c r="B43" s="30" t="s">
        <v>51</v>
      </c>
      <c r="C43" s="30">
        <v>212</v>
      </c>
      <c r="D43" s="30">
        <v>-6.4</v>
      </c>
      <c r="E43" s="30">
        <v>159</v>
      </c>
      <c r="F43" s="30">
        <v>123</v>
      </c>
    </row>
    <row r="44" spans="1:6" x14ac:dyDescent="0.25">
      <c r="A44" s="30">
        <v>29</v>
      </c>
      <c r="B44" s="30" t="s">
        <v>52</v>
      </c>
      <c r="C44" s="30">
        <v>295</v>
      </c>
      <c r="D44" s="30">
        <v>-11.1</v>
      </c>
      <c r="E44" s="30">
        <v>207</v>
      </c>
      <c r="F44" s="30">
        <v>74</v>
      </c>
    </row>
    <row r="45" spans="1:6" x14ac:dyDescent="0.25">
      <c r="A45" s="30">
        <v>32</v>
      </c>
      <c r="B45" s="30" t="s">
        <v>53</v>
      </c>
      <c r="C45" s="30">
        <v>309</v>
      </c>
      <c r="D45" s="30">
        <v>5.8</v>
      </c>
      <c r="E45" s="30">
        <v>214</v>
      </c>
      <c r="F45" s="30">
        <v>73</v>
      </c>
    </row>
    <row r="46" spans="1:6" x14ac:dyDescent="0.25">
      <c r="A46" s="30">
        <v>26</v>
      </c>
      <c r="B46" s="30" t="s">
        <v>54</v>
      </c>
      <c r="C46" s="30">
        <v>273</v>
      </c>
      <c r="D46" s="30">
        <v>-13</v>
      </c>
      <c r="E46" s="30">
        <v>163</v>
      </c>
      <c r="F46" s="30">
        <v>67</v>
      </c>
    </row>
    <row r="47" spans="1:6" x14ac:dyDescent="0.25">
      <c r="A47" s="30">
        <v>65</v>
      </c>
      <c r="B47" s="30" t="s">
        <v>55</v>
      </c>
      <c r="C47" s="30">
        <v>389</v>
      </c>
      <c r="D47" s="30">
        <v>-3.9</v>
      </c>
      <c r="E47" s="30">
        <v>207</v>
      </c>
      <c r="F47" s="30">
        <v>75</v>
      </c>
    </row>
    <row r="48" spans="1:6" x14ac:dyDescent="0.25">
      <c r="A48" s="30">
        <v>21</v>
      </c>
      <c r="B48" s="30" t="s">
        <v>56</v>
      </c>
      <c r="C48" s="30">
        <v>242</v>
      </c>
      <c r="D48" s="30">
        <v>-3.4</v>
      </c>
      <c r="E48" s="30">
        <v>145</v>
      </c>
      <c r="F48" s="30">
        <v>88</v>
      </c>
    </row>
    <row r="49" spans="1:6" x14ac:dyDescent="0.25">
      <c r="A49" s="30">
        <v>19</v>
      </c>
      <c r="B49" s="30" t="s">
        <v>57</v>
      </c>
      <c r="C49" s="30">
        <v>227</v>
      </c>
      <c r="D49" s="30">
        <v>-5.9</v>
      </c>
      <c r="E49" s="30">
        <v>153</v>
      </c>
      <c r="F49" s="30">
        <v>86</v>
      </c>
    </row>
    <row r="50" spans="1:6" x14ac:dyDescent="0.25">
      <c r="A50" s="30">
        <v>83</v>
      </c>
      <c r="B50" s="30" t="s">
        <v>58</v>
      </c>
      <c r="C50" s="30">
        <v>476</v>
      </c>
      <c r="D50" s="30">
        <v>-2.8</v>
      </c>
      <c r="E50" s="30">
        <v>199</v>
      </c>
      <c r="F50" s="30">
        <v>44</v>
      </c>
    </row>
    <row r="51" spans="1:6" x14ac:dyDescent="0.25">
      <c r="A51" s="30">
        <v>8</v>
      </c>
      <c r="B51" s="30" t="s">
        <v>59</v>
      </c>
      <c r="C51" s="30">
        <v>185</v>
      </c>
      <c r="D51" s="30">
        <v>-21.6</v>
      </c>
      <c r="E51" s="30">
        <v>101</v>
      </c>
      <c r="F51" s="30">
        <v>97</v>
      </c>
    </row>
    <row r="52" spans="1:6" x14ac:dyDescent="0.25">
      <c r="A52" s="30">
        <v>76</v>
      </c>
      <c r="B52" s="30" t="s">
        <v>60</v>
      </c>
      <c r="C52" s="30">
        <v>424</v>
      </c>
      <c r="D52" s="30">
        <v>-7.4</v>
      </c>
      <c r="E52" s="30">
        <v>238</v>
      </c>
      <c r="F52" s="30">
        <v>57</v>
      </c>
    </row>
    <row r="53" spans="1:6" x14ac:dyDescent="0.25">
      <c r="A53" s="30">
        <v>72</v>
      </c>
      <c r="B53" s="30" t="s">
        <v>61</v>
      </c>
      <c r="C53" s="30">
        <v>411</v>
      </c>
      <c r="D53" s="30">
        <v>1.6</v>
      </c>
      <c r="E53" s="30">
        <v>236</v>
      </c>
      <c r="F53" s="30">
        <v>46</v>
      </c>
    </row>
    <row r="54" spans="1:6" x14ac:dyDescent="0.25">
      <c r="A54" s="30">
        <v>11</v>
      </c>
      <c r="B54" s="30" t="s">
        <v>62</v>
      </c>
      <c r="C54" s="30">
        <v>202</v>
      </c>
      <c r="D54" s="30">
        <v>-3.1</v>
      </c>
      <c r="E54" s="30">
        <v>89</v>
      </c>
      <c r="F54" s="30">
        <v>51</v>
      </c>
    </row>
    <row r="55" spans="1:6" x14ac:dyDescent="0.25">
      <c r="A55" s="30">
        <v>37</v>
      </c>
      <c r="B55" s="30" t="s">
        <v>63</v>
      </c>
      <c r="C55" s="30">
        <v>318</v>
      </c>
      <c r="D55" s="30">
        <v>-2.2999999999999998</v>
      </c>
      <c r="E55" s="30">
        <v>160</v>
      </c>
      <c r="F55" s="30">
        <v>45</v>
      </c>
    </row>
    <row r="56" spans="1:6" x14ac:dyDescent="0.25">
      <c r="A56" s="30">
        <v>7</v>
      </c>
      <c r="B56" s="30" t="s">
        <v>64</v>
      </c>
      <c r="C56" s="30">
        <v>185</v>
      </c>
      <c r="D56" s="30">
        <v>-1.4</v>
      </c>
      <c r="E56" s="30">
        <v>102</v>
      </c>
      <c r="F56" s="30">
        <v>109</v>
      </c>
    </row>
    <row r="57" spans="1:6" x14ac:dyDescent="0.25">
      <c r="A57" s="30">
        <v>13</v>
      </c>
      <c r="B57" s="30" t="s">
        <v>65</v>
      </c>
      <c r="C57" s="30">
        <v>210</v>
      </c>
      <c r="D57" s="30">
        <v>1.5</v>
      </c>
      <c r="E57" s="30">
        <v>89</v>
      </c>
      <c r="F57" s="30">
        <v>40</v>
      </c>
    </row>
    <row r="58" spans="1:6" x14ac:dyDescent="0.25">
      <c r="A58" s="30">
        <v>60</v>
      </c>
      <c r="B58" s="30" t="s">
        <v>66</v>
      </c>
      <c r="C58" s="30">
        <v>368</v>
      </c>
      <c r="D58" s="30">
        <v>11.7</v>
      </c>
      <c r="E58" s="30">
        <v>280</v>
      </c>
      <c r="F58" s="30">
        <v>73</v>
      </c>
    </row>
    <row r="59" spans="1:6" x14ac:dyDescent="0.25">
      <c r="A59" s="30">
        <v>46</v>
      </c>
      <c r="B59" s="30" t="s">
        <v>68</v>
      </c>
      <c r="C59" s="30">
        <v>328</v>
      </c>
      <c r="D59" s="30">
        <v>4.0999999999999996</v>
      </c>
      <c r="E59" s="30">
        <v>194</v>
      </c>
      <c r="F59" s="30">
        <v>80</v>
      </c>
    </row>
    <row r="60" spans="1:6" x14ac:dyDescent="0.25">
      <c r="A60" s="30">
        <v>69</v>
      </c>
      <c r="B60" s="30" t="s">
        <v>69</v>
      </c>
      <c r="C60" s="30">
        <v>407</v>
      </c>
      <c r="D60" s="30">
        <v>-2.2000000000000002</v>
      </c>
      <c r="E60" s="30">
        <v>232</v>
      </c>
      <c r="F60" s="30">
        <v>90</v>
      </c>
    </row>
    <row r="61" spans="1:6" x14ac:dyDescent="0.25">
      <c r="A61" s="30">
        <v>73</v>
      </c>
      <c r="B61" s="30" t="s">
        <v>70</v>
      </c>
      <c r="C61" s="30">
        <v>414</v>
      </c>
      <c r="D61" s="30">
        <v>3.3</v>
      </c>
      <c r="E61" s="30">
        <v>210</v>
      </c>
      <c r="F61" s="30">
        <v>82</v>
      </c>
    </row>
    <row r="62" spans="1:6" x14ac:dyDescent="0.25">
      <c r="A62" s="30">
        <v>35</v>
      </c>
      <c r="B62" s="30" t="s">
        <v>71</v>
      </c>
      <c r="C62" s="30">
        <v>316</v>
      </c>
      <c r="D62" s="30">
        <v>-6.8</v>
      </c>
      <c r="E62" s="30">
        <v>187</v>
      </c>
      <c r="F62" s="30">
        <v>103</v>
      </c>
    </row>
    <row r="63" spans="1:6" x14ac:dyDescent="0.25">
      <c r="A63" s="30">
        <v>54</v>
      </c>
      <c r="B63" s="30" t="s">
        <v>72</v>
      </c>
      <c r="C63" s="30">
        <v>347</v>
      </c>
      <c r="D63" s="30">
        <v>-0.5</v>
      </c>
      <c r="E63" s="30">
        <v>165</v>
      </c>
      <c r="F63" s="30">
        <v>80</v>
      </c>
    </row>
    <row r="64" spans="1:6" x14ac:dyDescent="0.25">
      <c r="A64" s="30">
        <v>57</v>
      </c>
      <c r="B64" s="30" t="s">
        <v>73</v>
      </c>
      <c r="C64" s="30">
        <v>357</v>
      </c>
      <c r="D64" s="30">
        <v>5</v>
      </c>
      <c r="E64" s="30">
        <v>185</v>
      </c>
      <c r="F64" s="30">
        <v>90</v>
      </c>
    </row>
    <row r="65" spans="1:6" x14ac:dyDescent="0.25">
      <c r="A65" s="30">
        <v>52</v>
      </c>
      <c r="B65" s="30" t="s">
        <v>74</v>
      </c>
      <c r="C65" s="30">
        <v>339</v>
      </c>
      <c r="D65" s="30">
        <v>0.9</v>
      </c>
      <c r="E65" s="30">
        <v>162</v>
      </c>
      <c r="F65" s="30">
        <v>67</v>
      </c>
    </row>
    <row r="66" spans="1:6" x14ac:dyDescent="0.25">
      <c r="A66" s="30">
        <v>68</v>
      </c>
      <c r="B66" s="30" t="s">
        <v>75</v>
      </c>
      <c r="C66" s="30">
        <v>405</v>
      </c>
      <c r="D66" s="30">
        <v>-3</v>
      </c>
      <c r="E66" s="30">
        <v>179</v>
      </c>
      <c r="F66" s="30">
        <v>70</v>
      </c>
    </row>
    <row r="67" spans="1:6" x14ac:dyDescent="0.25">
      <c r="A67" s="30">
        <v>27</v>
      </c>
      <c r="B67" s="30" t="s">
        <v>76</v>
      </c>
      <c r="C67" s="30">
        <v>287</v>
      </c>
      <c r="D67" s="30">
        <v>0.8</v>
      </c>
      <c r="E67" s="30">
        <v>150</v>
      </c>
      <c r="F67" s="30">
        <v>70</v>
      </c>
    </row>
    <row r="68" spans="1:6" x14ac:dyDescent="0.25">
      <c r="A68" s="30">
        <v>81</v>
      </c>
      <c r="B68" s="30" t="s">
        <v>77</v>
      </c>
      <c r="C68" s="30">
        <v>462</v>
      </c>
      <c r="D68" s="30">
        <v>7.8</v>
      </c>
      <c r="E68" s="30">
        <v>197</v>
      </c>
      <c r="F68" s="30">
        <v>91</v>
      </c>
    </row>
    <row r="69" spans="1:6" x14ac:dyDescent="0.25">
      <c r="A69" s="30">
        <v>20</v>
      </c>
      <c r="B69" s="30" t="s">
        <v>78</v>
      </c>
      <c r="C69" s="30">
        <v>227</v>
      </c>
      <c r="D69" s="30">
        <v>-11.9</v>
      </c>
      <c r="E69" s="30">
        <v>203</v>
      </c>
      <c r="F69" s="30">
        <v>86</v>
      </c>
    </row>
    <row r="70" spans="1:6" x14ac:dyDescent="0.25">
      <c r="A70" s="30">
        <v>62</v>
      </c>
      <c r="B70" s="30" t="s">
        <v>79</v>
      </c>
      <c r="C70" s="30">
        <v>374</v>
      </c>
      <c r="D70" s="30">
        <v>-6.2</v>
      </c>
      <c r="E70" s="30">
        <v>200</v>
      </c>
      <c r="F70" s="30">
        <v>81</v>
      </c>
    </row>
    <row r="71" spans="1:6" x14ac:dyDescent="0.25">
      <c r="A71" s="30">
        <v>23</v>
      </c>
      <c r="B71" s="30" t="s">
        <v>80</v>
      </c>
      <c r="C71" s="30">
        <v>246</v>
      </c>
      <c r="D71" s="30">
        <v>-6.8</v>
      </c>
      <c r="E71" s="30">
        <v>145</v>
      </c>
      <c r="F71" s="30">
        <v>74</v>
      </c>
    </row>
    <row r="72" spans="1:6" x14ac:dyDescent="0.25">
      <c r="A72" s="30">
        <v>17</v>
      </c>
      <c r="B72" s="30" t="s">
        <v>81</v>
      </c>
      <c r="C72" s="30">
        <v>219</v>
      </c>
      <c r="D72" s="30">
        <v>6.4</v>
      </c>
      <c r="E72" s="30">
        <v>104</v>
      </c>
      <c r="F72" s="30">
        <v>136</v>
      </c>
    </row>
    <row r="73" spans="1:6" x14ac:dyDescent="0.25">
      <c r="A73" s="30">
        <v>75</v>
      </c>
      <c r="B73" s="30" t="s">
        <v>82</v>
      </c>
      <c r="C73" s="30">
        <v>417</v>
      </c>
      <c r="D73" s="30">
        <v>-3</v>
      </c>
      <c r="E73" s="30">
        <v>189</v>
      </c>
      <c r="F73" s="30">
        <v>80</v>
      </c>
    </row>
    <row r="74" spans="1:6" x14ac:dyDescent="0.25">
      <c r="A74" s="30">
        <v>30</v>
      </c>
      <c r="B74" s="30" t="s">
        <v>83</v>
      </c>
      <c r="C74" s="30">
        <v>304</v>
      </c>
      <c r="D74" s="30">
        <v>-13.1</v>
      </c>
      <c r="E74" s="30">
        <v>156</v>
      </c>
      <c r="F74" s="30">
        <v>57</v>
      </c>
    </row>
    <row r="75" spans="1:6" x14ac:dyDescent="0.25">
      <c r="A75" s="30">
        <v>43</v>
      </c>
      <c r="B75" s="30" t="s">
        <v>85</v>
      </c>
      <c r="C75" s="30">
        <v>323</v>
      </c>
      <c r="D75" s="30">
        <v>-5.3</v>
      </c>
      <c r="E75" s="30">
        <v>175</v>
      </c>
      <c r="F75" s="30">
        <v>130</v>
      </c>
    </row>
    <row r="76" spans="1:6" x14ac:dyDescent="0.25">
      <c r="A76" s="30">
        <v>78</v>
      </c>
      <c r="B76" s="30" t="s">
        <v>86</v>
      </c>
      <c r="C76" s="30">
        <v>434</v>
      </c>
      <c r="D76" s="30">
        <v>-12.1</v>
      </c>
      <c r="E76" s="30">
        <v>191</v>
      </c>
      <c r="F76" s="30">
        <v>92</v>
      </c>
    </row>
    <row r="77" spans="1:6" x14ac:dyDescent="0.25">
      <c r="A77" s="30">
        <v>38</v>
      </c>
      <c r="B77" s="30" t="s">
        <v>88</v>
      </c>
      <c r="C77" s="30">
        <v>318</v>
      </c>
      <c r="D77" s="30">
        <v>3.5</v>
      </c>
      <c r="E77" s="30">
        <v>187</v>
      </c>
      <c r="F77" s="30">
        <v>95</v>
      </c>
    </row>
    <row r="78" spans="1:6" x14ac:dyDescent="0.25">
      <c r="A78" s="30">
        <v>45</v>
      </c>
      <c r="B78" s="30" t="s">
        <v>89</v>
      </c>
      <c r="C78" s="30">
        <v>324</v>
      </c>
      <c r="D78" s="30">
        <v>-2.8</v>
      </c>
      <c r="E78" s="30">
        <v>180</v>
      </c>
      <c r="F78" s="30">
        <v>61</v>
      </c>
    </row>
    <row r="79" spans="1:6" x14ac:dyDescent="0.25">
      <c r="A79" s="30">
        <v>15</v>
      </c>
      <c r="B79" s="30" t="s">
        <v>90</v>
      </c>
      <c r="C79" s="30">
        <v>212</v>
      </c>
      <c r="D79" s="30">
        <v>2.8</v>
      </c>
      <c r="E79" s="30">
        <v>152</v>
      </c>
      <c r="F79" s="30">
        <v>75</v>
      </c>
    </row>
    <row r="80" spans="1:6" x14ac:dyDescent="0.25">
      <c r="A80" s="30">
        <v>82</v>
      </c>
      <c r="B80" s="30" t="s">
        <v>91</v>
      </c>
      <c r="C80" s="30">
        <v>476</v>
      </c>
      <c r="D80" s="30">
        <v>-3.3</v>
      </c>
      <c r="E80" s="30">
        <v>243</v>
      </c>
      <c r="F80" s="30">
        <v>79</v>
      </c>
    </row>
    <row r="81" spans="1:6" x14ac:dyDescent="0.25">
      <c r="A81" s="30">
        <v>64</v>
      </c>
      <c r="B81" s="30" t="s">
        <v>92</v>
      </c>
      <c r="C81" s="30">
        <v>387</v>
      </c>
      <c r="D81" s="30">
        <v>-9.3000000000000007</v>
      </c>
      <c r="E81" s="30">
        <v>128</v>
      </c>
      <c r="F81" s="30">
        <v>90</v>
      </c>
    </row>
    <row r="82" spans="1:6" x14ac:dyDescent="0.25">
      <c r="A82" s="30">
        <v>18</v>
      </c>
      <c r="B82" s="30" t="s">
        <v>93</v>
      </c>
      <c r="C82" s="30">
        <v>222</v>
      </c>
      <c r="D82" s="30">
        <v>3.6</v>
      </c>
      <c r="E82" s="30">
        <v>118</v>
      </c>
      <c r="F82" s="30">
        <v>84</v>
      </c>
    </row>
    <row r="83" spans="1:6" x14ac:dyDescent="0.25">
      <c r="A83" s="30">
        <v>61</v>
      </c>
      <c r="B83" s="30" t="s">
        <v>94</v>
      </c>
      <c r="C83" s="30">
        <v>373</v>
      </c>
      <c r="D83" s="30">
        <v>6.4</v>
      </c>
      <c r="E83" s="30">
        <v>177</v>
      </c>
      <c r="F83" s="30">
        <v>47</v>
      </c>
    </row>
    <row r="84" spans="1:6" x14ac:dyDescent="0.25">
      <c r="A84" s="30">
        <v>58</v>
      </c>
      <c r="B84" s="30" t="s">
        <v>95</v>
      </c>
      <c r="C84" s="30">
        <v>358</v>
      </c>
      <c r="D84" s="30">
        <v>-5.3</v>
      </c>
      <c r="E84" s="30">
        <v>181</v>
      </c>
      <c r="F84" s="30">
        <v>62</v>
      </c>
    </row>
    <row r="85" spans="1:6" x14ac:dyDescent="0.25">
      <c r="A85" s="30">
        <v>79</v>
      </c>
      <c r="B85" s="30" t="s">
        <v>96</v>
      </c>
      <c r="C85" s="30">
        <v>455</v>
      </c>
      <c r="D85" s="30">
        <v>6.6</v>
      </c>
      <c r="E85" s="30">
        <v>232</v>
      </c>
      <c r="F85" s="30">
        <v>77</v>
      </c>
    </row>
    <row r="86" spans="1:6" x14ac:dyDescent="0.25">
      <c r="A86" s="30">
        <v>31</v>
      </c>
      <c r="B86" s="30" t="s">
        <v>97</v>
      </c>
      <c r="C86" s="30">
        <v>304</v>
      </c>
      <c r="D86" s="30">
        <v>-3.6</v>
      </c>
      <c r="E86" s="30">
        <v>164</v>
      </c>
      <c r="F86" s="30">
        <v>66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"/>
  <sheetViews>
    <sheetView topLeftCell="A59" workbookViewId="0">
      <selection activeCell="C9" sqref="C9"/>
    </sheetView>
  </sheetViews>
  <sheetFormatPr defaultRowHeight="15" x14ac:dyDescent="0.25"/>
  <cols>
    <col min="1" max="1" width="25.140625" customWidth="1"/>
    <col min="2" max="2" width="20.42578125" customWidth="1"/>
    <col min="3" max="3" width="38.28515625" customWidth="1"/>
  </cols>
  <sheetData>
    <row r="1" spans="1:2" ht="75" x14ac:dyDescent="0.25">
      <c r="A1" s="40" t="s">
        <v>138</v>
      </c>
      <c r="B1" s="40" t="s">
        <v>139</v>
      </c>
    </row>
    <row r="2" spans="1:2" x14ac:dyDescent="0.25">
      <c r="A2" s="30" t="s">
        <v>7</v>
      </c>
      <c r="B2" s="30">
        <v>504</v>
      </c>
    </row>
    <row r="3" spans="1:2" x14ac:dyDescent="0.25">
      <c r="A3" s="30" t="s">
        <v>8</v>
      </c>
      <c r="B3" s="30">
        <v>183</v>
      </c>
    </row>
    <row r="4" spans="1:2" x14ac:dyDescent="0.25">
      <c r="A4" s="30" t="s">
        <v>9</v>
      </c>
      <c r="B4" s="30">
        <v>139</v>
      </c>
    </row>
    <row r="5" spans="1:2" x14ac:dyDescent="0.25">
      <c r="A5" s="30" t="s">
        <v>10</v>
      </c>
      <c r="B5" s="30">
        <v>363</v>
      </c>
    </row>
    <row r="6" spans="1:2" x14ac:dyDescent="0.25">
      <c r="A6" s="30" t="s">
        <v>11</v>
      </c>
      <c r="B6" s="30">
        <v>76</v>
      </c>
    </row>
    <row r="7" spans="1:2" x14ac:dyDescent="0.25">
      <c r="A7" s="30" t="s">
        <v>12</v>
      </c>
      <c r="B7" s="30">
        <v>322</v>
      </c>
    </row>
    <row r="8" spans="1:2" x14ac:dyDescent="0.25">
      <c r="A8" s="30" t="s">
        <v>16</v>
      </c>
      <c r="B8" s="30">
        <v>212</v>
      </c>
    </row>
    <row r="9" spans="1:2" x14ac:dyDescent="0.25">
      <c r="A9" s="30" t="s">
        <v>17</v>
      </c>
      <c r="B9" s="30">
        <v>415</v>
      </c>
    </row>
    <row r="10" spans="1:2" x14ac:dyDescent="0.25">
      <c r="A10" s="30" t="s">
        <v>18</v>
      </c>
      <c r="B10" s="30">
        <v>293</v>
      </c>
    </row>
    <row r="11" spans="1:2" x14ac:dyDescent="0.25">
      <c r="A11" s="30" t="s">
        <v>19</v>
      </c>
      <c r="B11" s="30">
        <v>397</v>
      </c>
    </row>
    <row r="12" spans="1:2" x14ac:dyDescent="0.25">
      <c r="A12" s="30" t="s">
        <v>20</v>
      </c>
      <c r="B12" s="30">
        <v>455</v>
      </c>
    </row>
    <row r="13" spans="1:2" x14ac:dyDescent="0.25">
      <c r="A13" s="30" t="s">
        <v>21</v>
      </c>
      <c r="B13" s="30">
        <v>322</v>
      </c>
    </row>
    <row r="14" spans="1:2" x14ac:dyDescent="0.25">
      <c r="A14" s="30" t="s">
        <v>22</v>
      </c>
      <c r="B14" s="30">
        <v>191</v>
      </c>
    </row>
    <row r="15" spans="1:2" x14ac:dyDescent="0.25">
      <c r="A15" s="30" t="s">
        <v>23</v>
      </c>
      <c r="B15" s="30">
        <v>341</v>
      </c>
    </row>
    <row r="16" spans="1:2" x14ac:dyDescent="0.25">
      <c r="A16" s="30" t="s">
        <v>24</v>
      </c>
      <c r="B16" s="30">
        <v>334</v>
      </c>
    </row>
    <row r="17" spans="1:2" x14ac:dyDescent="0.25">
      <c r="A17" s="30" t="s">
        <v>25</v>
      </c>
      <c r="B17" s="30">
        <v>323</v>
      </c>
    </row>
    <row r="18" spans="1:2" x14ac:dyDescent="0.25">
      <c r="A18" s="30" t="s">
        <v>26</v>
      </c>
      <c r="B18" s="30">
        <v>351</v>
      </c>
    </row>
    <row r="19" spans="1:2" x14ac:dyDescent="0.25">
      <c r="A19" s="30" t="s">
        <v>27</v>
      </c>
      <c r="B19" s="30">
        <v>399</v>
      </c>
    </row>
    <row r="20" spans="1:2" x14ac:dyDescent="0.25">
      <c r="A20" s="30" t="s">
        <v>28</v>
      </c>
      <c r="B20" s="30">
        <v>150</v>
      </c>
    </row>
    <row r="21" spans="1:2" x14ac:dyDescent="0.25">
      <c r="A21" s="30" t="s">
        <v>29</v>
      </c>
      <c r="B21" s="30">
        <v>319</v>
      </c>
    </row>
    <row r="22" spans="1:2" x14ac:dyDescent="0.25">
      <c r="A22" s="30" t="s">
        <v>30</v>
      </c>
      <c r="B22" s="30">
        <v>328</v>
      </c>
    </row>
    <row r="23" spans="1:2" x14ac:dyDescent="0.25">
      <c r="A23" s="30" t="s">
        <v>31</v>
      </c>
      <c r="B23" s="30">
        <v>333</v>
      </c>
    </row>
    <row r="24" spans="1:2" x14ac:dyDescent="0.25">
      <c r="A24" s="30" t="s">
        <v>32</v>
      </c>
      <c r="B24" s="30">
        <v>316</v>
      </c>
    </row>
    <row r="25" spans="1:2" x14ac:dyDescent="0.25">
      <c r="A25" s="30" t="s">
        <v>33</v>
      </c>
      <c r="B25" s="30">
        <v>349</v>
      </c>
    </row>
    <row r="26" spans="1:2" x14ac:dyDescent="0.25">
      <c r="A26" s="30" t="s">
        <v>34</v>
      </c>
      <c r="B26" s="30">
        <v>183</v>
      </c>
    </row>
    <row r="27" spans="1:2" x14ac:dyDescent="0.25">
      <c r="A27" s="30" t="s">
        <v>35</v>
      </c>
      <c r="B27" s="30">
        <v>207</v>
      </c>
    </row>
    <row r="28" spans="1:2" x14ac:dyDescent="0.25">
      <c r="A28" s="30" t="s">
        <v>36</v>
      </c>
      <c r="B28" s="30">
        <v>858</v>
      </c>
    </row>
    <row r="29" spans="1:2" x14ac:dyDescent="0.25">
      <c r="A29" s="30" t="s">
        <v>37</v>
      </c>
      <c r="B29" s="30">
        <v>339</v>
      </c>
    </row>
    <row r="30" spans="1:2" x14ac:dyDescent="0.25">
      <c r="A30" s="30" t="s">
        <v>38</v>
      </c>
      <c r="B30" s="30">
        <v>313</v>
      </c>
    </row>
    <row r="31" spans="1:2" x14ac:dyDescent="0.25">
      <c r="A31" s="30" t="s">
        <v>39</v>
      </c>
      <c r="B31" s="30">
        <v>259</v>
      </c>
    </row>
    <row r="32" spans="1:2" x14ac:dyDescent="0.25">
      <c r="A32" s="30" t="s">
        <v>40</v>
      </c>
      <c r="B32" s="30">
        <v>334</v>
      </c>
    </row>
    <row r="33" spans="1:2" x14ac:dyDescent="0.25">
      <c r="A33" s="30" t="s">
        <v>41</v>
      </c>
      <c r="B33" s="30">
        <v>427</v>
      </c>
    </row>
    <row r="34" spans="1:2" x14ac:dyDescent="0.25">
      <c r="A34" s="30" t="s">
        <v>42</v>
      </c>
      <c r="B34" s="30">
        <v>408</v>
      </c>
    </row>
    <row r="35" spans="1:2" x14ac:dyDescent="0.25">
      <c r="A35" s="30" t="s">
        <v>43</v>
      </c>
      <c r="B35" s="30">
        <v>323</v>
      </c>
    </row>
    <row r="36" spans="1:2" x14ac:dyDescent="0.25">
      <c r="A36" s="30" t="s">
        <v>44</v>
      </c>
      <c r="B36" s="30">
        <v>244</v>
      </c>
    </row>
    <row r="37" spans="1:2" x14ac:dyDescent="0.25">
      <c r="A37" s="30" t="s">
        <v>45</v>
      </c>
      <c r="B37" s="30">
        <v>384</v>
      </c>
    </row>
    <row r="38" spans="1:2" x14ac:dyDescent="0.25">
      <c r="A38" s="30" t="s">
        <v>46</v>
      </c>
      <c r="B38" s="30">
        <v>158</v>
      </c>
    </row>
    <row r="39" spans="1:2" x14ac:dyDescent="0.25">
      <c r="A39" s="30" t="s">
        <v>47</v>
      </c>
      <c r="B39" s="30">
        <v>198</v>
      </c>
    </row>
    <row r="40" spans="1:2" x14ac:dyDescent="0.25">
      <c r="A40" s="30" t="s">
        <v>48</v>
      </c>
      <c r="B40" s="30">
        <v>312</v>
      </c>
    </row>
    <row r="41" spans="1:2" x14ac:dyDescent="0.25">
      <c r="A41" s="30" t="s">
        <v>49</v>
      </c>
      <c r="B41" s="30">
        <v>253</v>
      </c>
    </row>
    <row r="42" spans="1:2" x14ac:dyDescent="0.25">
      <c r="A42" s="30" t="s">
        <v>50</v>
      </c>
      <c r="B42" s="30">
        <v>408</v>
      </c>
    </row>
    <row r="43" spans="1:2" x14ac:dyDescent="0.25">
      <c r="A43" s="30" t="s">
        <v>51</v>
      </c>
      <c r="B43" s="30">
        <v>212</v>
      </c>
    </row>
    <row r="44" spans="1:2" x14ac:dyDescent="0.25">
      <c r="A44" s="30" t="s">
        <v>52</v>
      </c>
      <c r="B44" s="30">
        <v>295</v>
      </c>
    </row>
    <row r="45" spans="1:2" x14ac:dyDescent="0.25">
      <c r="A45" s="30" t="s">
        <v>53</v>
      </c>
      <c r="B45" s="30">
        <v>309</v>
      </c>
    </row>
    <row r="46" spans="1:2" x14ac:dyDescent="0.25">
      <c r="A46" s="30" t="s">
        <v>54</v>
      </c>
      <c r="B46" s="30">
        <v>273</v>
      </c>
    </row>
    <row r="47" spans="1:2" x14ac:dyDescent="0.25">
      <c r="A47" s="30" t="s">
        <v>55</v>
      </c>
      <c r="B47" s="30">
        <v>389</v>
      </c>
    </row>
    <row r="48" spans="1:2" x14ac:dyDescent="0.25">
      <c r="A48" s="30" t="s">
        <v>56</v>
      </c>
      <c r="B48" s="30">
        <v>242</v>
      </c>
    </row>
    <row r="49" spans="1:2" x14ac:dyDescent="0.25">
      <c r="A49" s="30" t="s">
        <v>57</v>
      </c>
      <c r="B49" s="30">
        <v>227</v>
      </c>
    </row>
    <row r="50" spans="1:2" x14ac:dyDescent="0.25">
      <c r="A50" s="30" t="s">
        <v>58</v>
      </c>
      <c r="B50" s="30">
        <v>476</v>
      </c>
    </row>
    <row r="51" spans="1:2" x14ac:dyDescent="0.25">
      <c r="A51" s="30" t="s">
        <v>59</v>
      </c>
      <c r="B51" s="30">
        <v>185</v>
      </c>
    </row>
    <row r="52" spans="1:2" x14ac:dyDescent="0.25">
      <c r="A52" s="30" t="s">
        <v>60</v>
      </c>
      <c r="B52" s="30">
        <v>424</v>
      </c>
    </row>
    <row r="53" spans="1:2" x14ac:dyDescent="0.25">
      <c r="A53" s="30" t="s">
        <v>61</v>
      </c>
      <c r="B53" s="30">
        <v>411</v>
      </c>
    </row>
    <row r="54" spans="1:2" x14ac:dyDescent="0.25">
      <c r="A54" s="30" t="s">
        <v>62</v>
      </c>
      <c r="B54" s="30">
        <v>202</v>
      </c>
    </row>
    <row r="55" spans="1:2" x14ac:dyDescent="0.25">
      <c r="A55" s="30" t="s">
        <v>63</v>
      </c>
      <c r="B55" s="30">
        <v>318</v>
      </c>
    </row>
    <row r="56" spans="1:2" x14ac:dyDescent="0.25">
      <c r="A56" s="30" t="s">
        <v>64</v>
      </c>
      <c r="B56" s="30">
        <v>185</v>
      </c>
    </row>
    <row r="57" spans="1:2" x14ac:dyDescent="0.25">
      <c r="A57" s="30" t="s">
        <v>65</v>
      </c>
      <c r="B57" s="30">
        <v>210</v>
      </c>
    </row>
    <row r="58" spans="1:2" x14ac:dyDescent="0.25">
      <c r="A58" s="30" t="s">
        <v>66</v>
      </c>
      <c r="B58" s="30">
        <v>368</v>
      </c>
    </row>
    <row r="59" spans="1:2" x14ac:dyDescent="0.25">
      <c r="A59" s="30" t="s">
        <v>68</v>
      </c>
      <c r="B59" s="30">
        <v>328</v>
      </c>
    </row>
    <row r="60" spans="1:2" x14ac:dyDescent="0.25">
      <c r="A60" s="30" t="s">
        <v>69</v>
      </c>
      <c r="B60" s="30">
        <v>407</v>
      </c>
    </row>
    <row r="61" spans="1:2" x14ac:dyDescent="0.25">
      <c r="A61" s="30" t="s">
        <v>70</v>
      </c>
      <c r="B61" s="30">
        <v>414</v>
      </c>
    </row>
    <row r="62" spans="1:2" x14ac:dyDescent="0.25">
      <c r="A62" s="30" t="s">
        <v>71</v>
      </c>
      <c r="B62" s="30">
        <v>316</v>
      </c>
    </row>
    <row r="63" spans="1:2" x14ac:dyDescent="0.25">
      <c r="A63" s="30" t="s">
        <v>72</v>
      </c>
      <c r="B63" s="30">
        <v>347</v>
      </c>
    </row>
    <row r="64" spans="1:2" x14ac:dyDescent="0.25">
      <c r="A64" s="30" t="s">
        <v>73</v>
      </c>
      <c r="B64" s="30">
        <v>357</v>
      </c>
    </row>
    <row r="65" spans="1:2" x14ac:dyDescent="0.25">
      <c r="A65" s="30" t="s">
        <v>74</v>
      </c>
      <c r="B65" s="30">
        <v>339</v>
      </c>
    </row>
    <row r="66" spans="1:2" x14ac:dyDescent="0.25">
      <c r="A66" s="30" t="s">
        <v>75</v>
      </c>
      <c r="B66" s="30">
        <v>405</v>
      </c>
    </row>
    <row r="67" spans="1:2" x14ac:dyDescent="0.25">
      <c r="A67" s="30" t="s">
        <v>76</v>
      </c>
      <c r="B67" s="30">
        <v>287</v>
      </c>
    </row>
    <row r="68" spans="1:2" x14ac:dyDescent="0.25">
      <c r="A68" s="30" t="s">
        <v>77</v>
      </c>
      <c r="B68" s="30">
        <v>462</v>
      </c>
    </row>
    <row r="69" spans="1:2" x14ac:dyDescent="0.25">
      <c r="A69" s="30" t="s">
        <v>78</v>
      </c>
      <c r="B69" s="30">
        <v>227</v>
      </c>
    </row>
    <row r="70" spans="1:2" x14ac:dyDescent="0.25">
      <c r="A70" s="30" t="s">
        <v>79</v>
      </c>
      <c r="B70" s="30">
        <v>374</v>
      </c>
    </row>
    <row r="71" spans="1:2" x14ac:dyDescent="0.25">
      <c r="A71" s="30" t="s">
        <v>80</v>
      </c>
      <c r="B71" s="30">
        <v>246</v>
      </c>
    </row>
    <row r="72" spans="1:2" x14ac:dyDescent="0.25">
      <c r="A72" s="30" t="s">
        <v>81</v>
      </c>
      <c r="B72" s="30">
        <v>219</v>
      </c>
    </row>
    <row r="73" spans="1:2" x14ac:dyDescent="0.25">
      <c r="A73" s="30" t="s">
        <v>82</v>
      </c>
      <c r="B73" s="30">
        <v>417</v>
      </c>
    </row>
    <row r="74" spans="1:2" x14ac:dyDescent="0.25">
      <c r="A74" s="30" t="s">
        <v>83</v>
      </c>
      <c r="B74" s="30">
        <v>304</v>
      </c>
    </row>
    <row r="75" spans="1:2" x14ac:dyDescent="0.25">
      <c r="A75" s="30" t="s">
        <v>85</v>
      </c>
      <c r="B75" s="30">
        <v>323</v>
      </c>
    </row>
    <row r="76" spans="1:2" x14ac:dyDescent="0.25">
      <c r="A76" s="30" t="s">
        <v>86</v>
      </c>
      <c r="B76" s="30">
        <v>434</v>
      </c>
    </row>
    <row r="77" spans="1:2" x14ac:dyDescent="0.25">
      <c r="A77" s="30" t="s">
        <v>88</v>
      </c>
      <c r="B77" s="30">
        <v>318</v>
      </c>
    </row>
    <row r="78" spans="1:2" x14ac:dyDescent="0.25">
      <c r="A78" s="30" t="s">
        <v>89</v>
      </c>
      <c r="B78" s="30">
        <v>324</v>
      </c>
    </row>
    <row r="79" spans="1:2" x14ac:dyDescent="0.25">
      <c r="A79" s="30" t="s">
        <v>90</v>
      </c>
      <c r="B79" s="30">
        <v>212</v>
      </c>
    </row>
    <row r="80" spans="1:2" x14ac:dyDescent="0.25">
      <c r="A80" s="30" t="s">
        <v>91</v>
      </c>
      <c r="B80" s="30">
        <v>476</v>
      </c>
    </row>
    <row r="81" spans="1:2" x14ac:dyDescent="0.25">
      <c r="A81" s="30" t="s">
        <v>92</v>
      </c>
      <c r="B81" s="30">
        <v>387</v>
      </c>
    </row>
    <row r="82" spans="1:2" x14ac:dyDescent="0.25">
      <c r="A82" s="30" t="s">
        <v>93</v>
      </c>
      <c r="B82" s="30">
        <v>222</v>
      </c>
    </row>
    <row r="83" spans="1:2" x14ac:dyDescent="0.25">
      <c r="A83" s="30" t="s">
        <v>94</v>
      </c>
      <c r="B83" s="30">
        <v>373</v>
      </c>
    </row>
    <row r="84" spans="1:2" x14ac:dyDescent="0.25">
      <c r="A84" s="30" t="s">
        <v>95</v>
      </c>
      <c r="B84" s="30">
        <v>358</v>
      </c>
    </row>
    <row r="85" spans="1:2" x14ac:dyDescent="0.25">
      <c r="A85" s="30" t="s">
        <v>96</v>
      </c>
      <c r="B85" s="30">
        <v>455</v>
      </c>
    </row>
    <row r="86" spans="1:2" x14ac:dyDescent="0.25">
      <c r="A86" s="30" t="s">
        <v>97</v>
      </c>
      <c r="B86" s="30">
        <v>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workbookViewId="0">
      <selection activeCell="D2" sqref="D2"/>
    </sheetView>
  </sheetViews>
  <sheetFormatPr defaultRowHeight="15" x14ac:dyDescent="0.25"/>
  <cols>
    <col min="1" max="1" width="22" customWidth="1"/>
    <col min="2" max="2" width="28.140625" customWidth="1"/>
    <col min="3" max="3" width="28" customWidth="1"/>
    <col min="4" max="4" width="31.42578125" customWidth="1"/>
  </cols>
  <sheetData>
    <row r="1" spans="1:4" ht="45" x14ac:dyDescent="0.25">
      <c r="A1" s="40" t="s">
        <v>138</v>
      </c>
      <c r="B1" s="40" t="s">
        <v>139</v>
      </c>
      <c r="C1" s="40" t="s">
        <v>140</v>
      </c>
      <c r="D1" s="40" t="s">
        <v>143</v>
      </c>
    </row>
    <row r="2" spans="1:4" x14ac:dyDescent="0.25">
      <c r="A2" s="30" t="s">
        <v>7</v>
      </c>
      <c r="B2" s="30">
        <v>504</v>
      </c>
      <c r="C2" s="30">
        <v>4.8</v>
      </c>
      <c r="D2" s="30">
        <f>B2*(1+C2/100)</f>
        <v>528.19200000000001</v>
      </c>
    </row>
    <row r="3" spans="1:4" x14ac:dyDescent="0.25">
      <c r="A3" s="30" t="s">
        <v>8</v>
      </c>
      <c r="B3" s="30">
        <v>183</v>
      </c>
      <c r="C3" s="30">
        <v>-9.1999999999999993</v>
      </c>
      <c r="D3" s="30">
        <f t="shared" ref="D3:D66" si="0">B3*(1+C3/100)</f>
        <v>166.16400000000002</v>
      </c>
    </row>
    <row r="4" spans="1:4" x14ac:dyDescent="0.25">
      <c r="A4" s="30" t="s">
        <v>9</v>
      </c>
      <c r="B4" s="30">
        <v>139</v>
      </c>
      <c r="C4" s="30">
        <v>-50</v>
      </c>
      <c r="D4" s="30">
        <f t="shared" si="0"/>
        <v>69.5</v>
      </c>
    </row>
    <row r="5" spans="1:4" x14ac:dyDescent="0.25">
      <c r="A5" s="30" t="s">
        <v>10</v>
      </c>
      <c r="B5" s="30">
        <v>363</v>
      </c>
      <c r="C5" s="30">
        <v>-1.1000000000000001</v>
      </c>
      <c r="D5" s="30">
        <f t="shared" si="0"/>
        <v>359.00700000000001</v>
      </c>
    </row>
    <row r="6" spans="1:4" x14ac:dyDescent="0.25">
      <c r="A6" s="30" t="s">
        <v>11</v>
      </c>
      <c r="B6" s="30">
        <v>76</v>
      </c>
      <c r="C6" s="30">
        <v>14.5</v>
      </c>
      <c r="D6" s="30">
        <f t="shared" si="0"/>
        <v>87.02</v>
      </c>
    </row>
    <row r="7" spans="1:4" x14ac:dyDescent="0.25">
      <c r="A7" s="30" t="s">
        <v>12</v>
      </c>
      <c r="B7" s="30">
        <v>322</v>
      </c>
      <c r="C7" s="30">
        <v>0</v>
      </c>
      <c r="D7" s="30">
        <f t="shared" si="0"/>
        <v>322</v>
      </c>
    </row>
    <row r="8" spans="1:4" x14ac:dyDescent="0.25">
      <c r="A8" s="30" t="s">
        <v>16</v>
      </c>
      <c r="B8" s="30">
        <v>212</v>
      </c>
      <c r="C8" s="30">
        <v>-2.2999999999999998</v>
      </c>
      <c r="D8" s="30">
        <f t="shared" si="0"/>
        <v>207.124</v>
      </c>
    </row>
    <row r="9" spans="1:4" x14ac:dyDescent="0.25">
      <c r="A9" s="30" t="s">
        <v>17</v>
      </c>
      <c r="B9" s="30">
        <v>415</v>
      </c>
      <c r="C9" s="30">
        <v>-2.6</v>
      </c>
      <c r="D9" s="30">
        <f t="shared" si="0"/>
        <v>404.21</v>
      </c>
    </row>
    <row r="10" spans="1:4" x14ac:dyDescent="0.25">
      <c r="A10" s="30" t="s">
        <v>18</v>
      </c>
      <c r="B10" s="30">
        <v>293</v>
      </c>
      <c r="C10" s="30">
        <v>-3.9</v>
      </c>
      <c r="D10" s="30">
        <f t="shared" si="0"/>
        <v>281.57299999999998</v>
      </c>
    </row>
    <row r="11" spans="1:4" x14ac:dyDescent="0.25">
      <c r="A11" s="30" t="s">
        <v>19</v>
      </c>
      <c r="B11" s="30">
        <v>397</v>
      </c>
      <c r="C11" s="30">
        <v>4.5999999999999996</v>
      </c>
      <c r="D11" s="30">
        <f t="shared" si="0"/>
        <v>415.262</v>
      </c>
    </row>
    <row r="12" spans="1:4" x14ac:dyDescent="0.25">
      <c r="A12" s="30" t="s">
        <v>20</v>
      </c>
      <c r="B12" s="30">
        <v>455</v>
      </c>
      <c r="C12" s="30">
        <v>0</v>
      </c>
      <c r="D12" s="30">
        <f t="shared" si="0"/>
        <v>455</v>
      </c>
    </row>
    <row r="13" spans="1:4" x14ac:dyDescent="0.25">
      <c r="A13" s="30" t="s">
        <v>21</v>
      </c>
      <c r="B13" s="30">
        <v>322</v>
      </c>
      <c r="C13" s="30">
        <v>-3.6</v>
      </c>
      <c r="D13" s="30">
        <f t="shared" si="0"/>
        <v>310.40800000000002</v>
      </c>
    </row>
    <row r="14" spans="1:4" x14ac:dyDescent="0.25">
      <c r="A14" s="30" t="s">
        <v>22</v>
      </c>
      <c r="B14" s="30">
        <v>191</v>
      </c>
      <c r="C14" s="30">
        <v>-5.0999999999999996</v>
      </c>
      <c r="D14" s="30">
        <f t="shared" si="0"/>
        <v>181.25899999999999</v>
      </c>
    </row>
    <row r="15" spans="1:4" x14ac:dyDescent="0.25">
      <c r="A15" s="30" t="s">
        <v>23</v>
      </c>
      <c r="B15" s="30">
        <v>341</v>
      </c>
      <c r="C15" s="30">
        <v>7.6</v>
      </c>
      <c r="D15" s="30">
        <f t="shared" si="0"/>
        <v>366.916</v>
      </c>
    </row>
    <row r="16" spans="1:4" x14ac:dyDescent="0.25">
      <c r="A16" s="30" t="s">
        <v>24</v>
      </c>
      <c r="B16" s="30">
        <v>334</v>
      </c>
      <c r="C16" s="30">
        <v>-5.9</v>
      </c>
      <c r="D16" s="30">
        <f t="shared" si="0"/>
        <v>314.29399999999998</v>
      </c>
    </row>
    <row r="17" spans="1:4" x14ac:dyDescent="0.25">
      <c r="A17" s="30" t="s">
        <v>25</v>
      </c>
      <c r="B17" s="30">
        <v>323</v>
      </c>
      <c r="C17" s="30">
        <v>-6.5</v>
      </c>
      <c r="D17" s="30">
        <f t="shared" si="0"/>
        <v>302.005</v>
      </c>
    </row>
    <row r="18" spans="1:4" x14ac:dyDescent="0.25">
      <c r="A18" s="30" t="s">
        <v>26</v>
      </c>
      <c r="B18" s="30">
        <v>351</v>
      </c>
      <c r="C18" s="30">
        <v>-0.2</v>
      </c>
      <c r="D18" s="30">
        <f t="shared" si="0"/>
        <v>350.298</v>
      </c>
    </row>
    <row r="19" spans="1:4" x14ac:dyDescent="0.25">
      <c r="A19" s="30" t="s">
        <v>27</v>
      </c>
      <c r="B19" s="30">
        <v>399</v>
      </c>
      <c r="C19" s="30">
        <v>14.4</v>
      </c>
      <c r="D19" s="30">
        <f t="shared" si="0"/>
        <v>456.45600000000007</v>
      </c>
    </row>
    <row r="20" spans="1:4" x14ac:dyDescent="0.25">
      <c r="A20" s="30" t="s">
        <v>28</v>
      </c>
      <c r="B20" s="30">
        <v>150</v>
      </c>
      <c r="C20" s="30">
        <v>7.2</v>
      </c>
      <c r="D20" s="30">
        <f t="shared" si="0"/>
        <v>160.80000000000001</v>
      </c>
    </row>
    <row r="21" spans="1:4" x14ac:dyDescent="0.25">
      <c r="A21" s="30" t="s">
        <v>29</v>
      </c>
      <c r="B21" s="30">
        <v>319</v>
      </c>
      <c r="C21" s="30">
        <v>-13.5</v>
      </c>
      <c r="D21" s="30">
        <f t="shared" si="0"/>
        <v>275.935</v>
      </c>
    </row>
    <row r="22" spans="1:4" x14ac:dyDescent="0.25">
      <c r="A22" s="30" t="s">
        <v>30</v>
      </c>
      <c r="B22" s="30">
        <v>328</v>
      </c>
      <c r="C22" s="30">
        <v>-1.7</v>
      </c>
      <c r="D22" s="30">
        <f t="shared" si="0"/>
        <v>322.42399999999998</v>
      </c>
    </row>
    <row r="23" spans="1:4" x14ac:dyDescent="0.25">
      <c r="A23" s="30" t="s">
        <v>31</v>
      </c>
      <c r="B23" s="30">
        <v>333</v>
      </c>
      <c r="C23" s="30">
        <v>2.6</v>
      </c>
      <c r="D23" s="30">
        <f t="shared" si="0"/>
        <v>341.65800000000002</v>
      </c>
    </row>
    <row r="24" spans="1:4" x14ac:dyDescent="0.25">
      <c r="A24" s="30" t="s">
        <v>32</v>
      </c>
      <c r="B24" s="30">
        <v>316</v>
      </c>
      <c r="C24" s="30">
        <v>-6.7</v>
      </c>
      <c r="D24" s="30">
        <f t="shared" si="0"/>
        <v>294.82800000000003</v>
      </c>
    </row>
    <row r="25" spans="1:4" x14ac:dyDescent="0.25">
      <c r="A25" s="30" t="s">
        <v>33</v>
      </c>
      <c r="B25" s="30">
        <v>349</v>
      </c>
      <c r="C25" s="30">
        <v>0.1</v>
      </c>
      <c r="D25" s="30">
        <f t="shared" si="0"/>
        <v>349.34899999999999</v>
      </c>
    </row>
    <row r="26" spans="1:4" x14ac:dyDescent="0.25">
      <c r="A26" s="30" t="s">
        <v>34</v>
      </c>
      <c r="B26" s="30">
        <v>183</v>
      </c>
      <c r="C26" s="30">
        <v>-21.9</v>
      </c>
      <c r="D26" s="30">
        <f t="shared" si="0"/>
        <v>142.923</v>
      </c>
    </row>
    <row r="27" spans="1:4" x14ac:dyDescent="0.25">
      <c r="A27" s="30" t="s">
        <v>35</v>
      </c>
      <c r="B27" s="30">
        <v>207</v>
      </c>
      <c r="C27" s="30">
        <v>-6.4</v>
      </c>
      <c r="D27" s="30">
        <f t="shared" si="0"/>
        <v>193.75199999999998</v>
      </c>
    </row>
    <row r="28" spans="1:4" x14ac:dyDescent="0.25">
      <c r="A28" s="30" t="s">
        <v>36</v>
      </c>
      <c r="B28" s="30">
        <v>858</v>
      </c>
      <c r="C28" s="30">
        <v>-6.8</v>
      </c>
      <c r="D28" s="30">
        <f t="shared" si="0"/>
        <v>799.65599999999995</v>
      </c>
    </row>
    <row r="29" spans="1:4" x14ac:dyDescent="0.25">
      <c r="A29" s="30" t="s">
        <v>37</v>
      </c>
      <c r="B29" s="30">
        <v>339</v>
      </c>
      <c r="C29" s="30">
        <v>-1.9</v>
      </c>
      <c r="D29" s="30">
        <f t="shared" si="0"/>
        <v>332.55899999999997</v>
      </c>
    </row>
    <row r="30" spans="1:4" x14ac:dyDescent="0.25">
      <c r="A30" s="30" t="s">
        <v>38</v>
      </c>
      <c r="B30" s="30">
        <v>313</v>
      </c>
      <c r="C30" s="30">
        <v>-7.5</v>
      </c>
      <c r="D30" s="30">
        <f t="shared" si="0"/>
        <v>289.52500000000003</v>
      </c>
    </row>
    <row r="31" spans="1:4" x14ac:dyDescent="0.25">
      <c r="A31" s="30" t="s">
        <v>39</v>
      </c>
      <c r="B31" s="30">
        <v>259</v>
      </c>
      <c r="C31" s="30">
        <v>-20.2</v>
      </c>
      <c r="D31" s="30">
        <f t="shared" si="0"/>
        <v>206.68200000000002</v>
      </c>
    </row>
    <row r="32" spans="1:4" x14ac:dyDescent="0.25">
      <c r="A32" s="30" t="s">
        <v>40</v>
      </c>
      <c r="B32" s="30">
        <v>334</v>
      </c>
      <c r="C32" s="30">
        <v>-9.4</v>
      </c>
      <c r="D32" s="30">
        <f t="shared" si="0"/>
        <v>302.60399999999998</v>
      </c>
    </row>
    <row r="33" spans="1:4" x14ac:dyDescent="0.25">
      <c r="A33" s="30" t="s">
        <v>41</v>
      </c>
      <c r="B33" s="30">
        <v>427</v>
      </c>
      <c r="C33" s="30">
        <v>11.7</v>
      </c>
      <c r="D33" s="30">
        <f t="shared" si="0"/>
        <v>476.959</v>
      </c>
    </row>
    <row r="34" spans="1:4" x14ac:dyDescent="0.25">
      <c r="A34" s="30" t="s">
        <v>42</v>
      </c>
      <c r="B34" s="30">
        <v>408</v>
      </c>
      <c r="C34" s="30">
        <v>-7.2</v>
      </c>
      <c r="D34" s="30">
        <f t="shared" si="0"/>
        <v>378.62399999999997</v>
      </c>
    </row>
    <row r="35" spans="1:4" x14ac:dyDescent="0.25">
      <c r="A35" s="30" t="s">
        <v>43</v>
      </c>
      <c r="B35" s="30">
        <v>323</v>
      </c>
      <c r="C35" s="30">
        <v>-7.9</v>
      </c>
      <c r="D35" s="30">
        <f t="shared" si="0"/>
        <v>297.483</v>
      </c>
    </row>
    <row r="36" spans="1:4" x14ac:dyDescent="0.25">
      <c r="A36" s="30" t="s">
        <v>44</v>
      </c>
      <c r="B36" s="30">
        <v>244</v>
      </c>
      <c r="C36" s="30">
        <v>-7.4</v>
      </c>
      <c r="D36" s="30">
        <f t="shared" si="0"/>
        <v>225.94399999999999</v>
      </c>
    </row>
    <row r="37" spans="1:4" x14ac:dyDescent="0.25">
      <c r="A37" s="30" t="s">
        <v>45</v>
      </c>
      <c r="B37" s="30">
        <v>384</v>
      </c>
      <c r="C37" s="30">
        <v>-5.9</v>
      </c>
      <c r="D37" s="30">
        <f t="shared" si="0"/>
        <v>361.34399999999999</v>
      </c>
    </row>
    <row r="38" spans="1:4" x14ac:dyDescent="0.25">
      <c r="A38" s="30" t="s">
        <v>46</v>
      </c>
      <c r="B38" s="30">
        <v>158</v>
      </c>
      <c r="C38" s="30">
        <v>-11.7</v>
      </c>
      <c r="D38" s="30">
        <f t="shared" si="0"/>
        <v>139.51400000000001</v>
      </c>
    </row>
    <row r="39" spans="1:4" x14ac:dyDescent="0.25">
      <c r="A39" s="30" t="s">
        <v>47</v>
      </c>
      <c r="B39" s="30">
        <v>198</v>
      </c>
      <c r="C39" s="30">
        <v>-8.1999999999999993</v>
      </c>
      <c r="D39" s="30">
        <f t="shared" si="0"/>
        <v>181.76400000000001</v>
      </c>
    </row>
    <row r="40" spans="1:4" x14ac:dyDescent="0.25">
      <c r="A40" s="30" t="s">
        <v>48</v>
      </c>
      <c r="B40" s="30">
        <v>312</v>
      </c>
      <c r="C40" s="30">
        <v>-6.8</v>
      </c>
      <c r="D40" s="30">
        <f t="shared" si="0"/>
        <v>290.78399999999999</v>
      </c>
    </row>
    <row r="41" spans="1:4" x14ac:dyDescent="0.25">
      <c r="A41" s="30" t="s">
        <v>49</v>
      </c>
      <c r="B41" s="30">
        <v>253</v>
      </c>
      <c r="C41" s="30">
        <v>-2.7</v>
      </c>
      <c r="D41" s="30">
        <f t="shared" si="0"/>
        <v>246.16899999999998</v>
      </c>
    </row>
    <row r="42" spans="1:4" x14ac:dyDescent="0.25">
      <c r="A42" s="30" t="s">
        <v>50</v>
      </c>
      <c r="B42" s="30">
        <v>408</v>
      </c>
      <c r="C42" s="30">
        <v>5.8</v>
      </c>
      <c r="D42" s="30">
        <f t="shared" si="0"/>
        <v>431.66400000000004</v>
      </c>
    </row>
    <row r="43" spans="1:4" x14ac:dyDescent="0.25">
      <c r="A43" s="30" t="s">
        <v>51</v>
      </c>
      <c r="B43" s="30">
        <v>212</v>
      </c>
      <c r="C43" s="30">
        <v>-6.4</v>
      </c>
      <c r="D43" s="30">
        <f t="shared" si="0"/>
        <v>198.43199999999999</v>
      </c>
    </row>
    <row r="44" spans="1:4" x14ac:dyDescent="0.25">
      <c r="A44" s="30" t="s">
        <v>52</v>
      </c>
      <c r="B44" s="30">
        <v>295</v>
      </c>
      <c r="C44" s="30">
        <v>-11.1</v>
      </c>
      <c r="D44" s="30">
        <f t="shared" si="0"/>
        <v>262.255</v>
      </c>
    </row>
    <row r="45" spans="1:4" x14ac:dyDescent="0.25">
      <c r="A45" s="30" t="s">
        <v>53</v>
      </c>
      <c r="B45" s="30">
        <v>309</v>
      </c>
      <c r="C45" s="30">
        <v>5.8</v>
      </c>
      <c r="D45" s="30">
        <f t="shared" si="0"/>
        <v>326.92200000000003</v>
      </c>
    </row>
    <row r="46" spans="1:4" x14ac:dyDescent="0.25">
      <c r="A46" s="30" t="s">
        <v>54</v>
      </c>
      <c r="B46" s="30">
        <v>273</v>
      </c>
      <c r="C46" s="30">
        <v>-13</v>
      </c>
      <c r="D46" s="30">
        <f t="shared" si="0"/>
        <v>237.51</v>
      </c>
    </row>
    <row r="47" spans="1:4" x14ac:dyDescent="0.25">
      <c r="A47" s="30" t="s">
        <v>55</v>
      </c>
      <c r="B47" s="30">
        <v>389</v>
      </c>
      <c r="C47" s="30">
        <v>-3.9</v>
      </c>
      <c r="D47" s="30">
        <f t="shared" si="0"/>
        <v>373.82900000000001</v>
      </c>
    </row>
    <row r="48" spans="1:4" x14ac:dyDescent="0.25">
      <c r="A48" s="30" t="s">
        <v>56</v>
      </c>
      <c r="B48" s="30">
        <v>242</v>
      </c>
      <c r="C48" s="30">
        <v>-3.4</v>
      </c>
      <c r="D48" s="30">
        <f t="shared" si="0"/>
        <v>233.77199999999999</v>
      </c>
    </row>
    <row r="49" spans="1:4" x14ac:dyDescent="0.25">
      <c r="A49" s="30" t="s">
        <v>57</v>
      </c>
      <c r="B49" s="30">
        <v>227</v>
      </c>
      <c r="C49" s="30">
        <v>-5.9</v>
      </c>
      <c r="D49" s="30">
        <f t="shared" si="0"/>
        <v>213.607</v>
      </c>
    </row>
    <row r="50" spans="1:4" x14ac:dyDescent="0.25">
      <c r="A50" s="30" t="s">
        <v>58</v>
      </c>
      <c r="B50" s="30">
        <v>476</v>
      </c>
      <c r="C50" s="30">
        <v>-2.8</v>
      </c>
      <c r="D50" s="30">
        <f t="shared" si="0"/>
        <v>462.67199999999997</v>
      </c>
    </row>
    <row r="51" spans="1:4" x14ac:dyDescent="0.25">
      <c r="A51" s="30" t="s">
        <v>59</v>
      </c>
      <c r="B51" s="30">
        <v>185</v>
      </c>
      <c r="C51" s="30">
        <v>-21.6</v>
      </c>
      <c r="D51" s="30">
        <f t="shared" si="0"/>
        <v>145.04</v>
      </c>
    </row>
    <row r="52" spans="1:4" x14ac:dyDescent="0.25">
      <c r="A52" s="30" t="s">
        <v>60</v>
      </c>
      <c r="B52" s="30">
        <v>424</v>
      </c>
      <c r="C52" s="30">
        <v>-7.4</v>
      </c>
      <c r="D52" s="30">
        <f t="shared" si="0"/>
        <v>392.62399999999997</v>
      </c>
    </row>
    <row r="53" spans="1:4" x14ac:dyDescent="0.25">
      <c r="A53" s="30" t="s">
        <v>61</v>
      </c>
      <c r="B53" s="30">
        <v>411</v>
      </c>
      <c r="C53" s="30">
        <v>1.6</v>
      </c>
      <c r="D53" s="30">
        <f t="shared" si="0"/>
        <v>417.57600000000002</v>
      </c>
    </row>
    <row r="54" spans="1:4" x14ac:dyDescent="0.25">
      <c r="A54" s="30" t="s">
        <v>62</v>
      </c>
      <c r="B54" s="30">
        <v>202</v>
      </c>
      <c r="C54" s="30">
        <v>-3.1</v>
      </c>
      <c r="D54" s="30">
        <f t="shared" si="0"/>
        <v>195.738</v>
      </c>
    </row>
    <row r="55" spans="1:4" x14ac:dyDescent="0.25">
      <c r="A55" s="30" t="s">
        <v>63</v>
      </c>
      <c r="B55" s="30">
        <v>318</v>
      </c>
      <c r="C55" s="30">
        <v>-2.2999999999999998</v>
      </c>
      <c r="D55" s="30">
        <f t="shared" si="0"/>
        <v>310.68599999999998</v>
      </c>
    </row>
    <row r="56" spans="1:4" x14ac:dyDescent="0.25">
      <c r="A56" s="30" t="s">
        <v>64</v>
      </c>
      <c r="B56" s="30">
        <v>185</v>
      </c>
      <c r="C56" s="30">
        <v>-1.4</v>
      </c>
      <c r="D56" s="30">
        <f t="shared" si="0"/>
        <v>182.41</v>
      </c>
    </row>
    <row r="57" spans="1:4" x14ac:dyDescent="0.25">
      <c r="A57" s="30" t="s">
        <v>65</v>
      </c>
      <c r="B57" s="30">
        <v>210</v>
      </c>
      <c r="C57" s="30">
        <v>1.5</v>
      </c>
      <c r="D57" s="30">
        <f t="shared" si="0"/>
        <v>213.14999999999998</v>
      </c>
    </row>
    <row r="58" spans="1:4" x14ac:dyDescent="0.25">
      <c r="A58" s="30" t="s">
        <v>66</v>
      </c>
      <c r="B58" s="30">
        <v>368</v>
      </c>
      <c r="C58" s="30">
        <v>11.7</v>
      </c>
      <c r="D58" s="30">
        <f t="shared" si="0"/>
        <v>411.05599999999998</v>
      </c>
    </row>
    <row r="59" spans="1:4" x14ac:dyDescent="0.25">
      <c r="A59" s="30" t="s">
        <v>68</v>
      </c>
      <c r="B59" s="30">
        <v>328</v>
      </c>
      <c r="C59" s="30">
        <v>4.0999999999999996</v>
      </c>
      <c r="D59" s="30">
        <f t="shared" si="0"/>
        <v>341.44799999999998</v>
      </c>
    </row>
    <row r="60" spans="1:4" x14ac:dyDescent="0.25">
      <c r="A60" s="30" t="s">
        <v>69</v>
      </c>
      <c r="B60" s="30">
        <v>407</v>
      </c>
      <c r="C60" s="30">
        <v>-2.2000000000000002</v>
      </c>
      <c r="D60" s="30">
        <f t="shared" si="0"/>
        <v>398.04599999999999</v>
      </c>
    </row>
    <row r="61" spans="1:4" x14ac:dyDescent="0.25">
      <c r="A61" s="30" t="s">
        <v>70</v>
      </c>
      <c r="B61" s="30">
        <v>414</v>
      </c>
      <c r="C61" s="30">
        <v>3.3</v>
      </c>
      <c r="D61" s="30">
        <f t="shared" si="0"/>
        <v>427.66199999999998</v>
      </c>
    </row>
    <row r="62" spans="1:4" x14ac:dyDescent="0.25">
      <c r="A62" s="30" t="s">
        <v>71</v>
      </c>
      <c r="B62" s="30">
        <v>316</v>
      </c>
      <c r="C62" s="30">
        <v>-6.8</v>
      </c>
      <c r="D62" s="30">
        <f t="shared" si="0"/>
        <v>294.512</v>
      </c>
    </row>
    <row r="63" spans="1:4" x14ac:dyDescent="0.25">
      <c r="A63" s="30" t="s">
        <v>72</v>
      </c>
      <c r="B63" s="30">
        <v>347</v>
      </c>
      <c r="C63" s="30">
        <v>-0.5</v>
      </c>
      <c r="D63" s="30">
        <f t="shared" si="0"/>
        <v>345.26499999999999</v>
      </c>
    </row>
    <row r="64" spans="1:4" x14ac:dyDescent="0.25">
      <c r="A64" s="30" t="s">
        <v>73</v>
      </c>
      <c r="B64" s="30">
        <v>357</v>
      </c>
      <c r="C64" s="30">
        <v>5</v>
      </c>
      <c r="D64" s="30">
        <f t="shared" si="0"/>
        <v>374.85</v>
      </c>
    </row>
    <row r="65" spans="1:4" x14ac:dyDescent="0.25">
      <c r="A65" s="30" t="s">
        <v>74</v>
      </c>
      <c r="B65" s="30">
        <v>339</v>
      </c>
      <c r="C65" s="30">
        <v>0.9</v>
      </c>
      <c r="D65" s="30">
        <f t="shared" si="0"/>
        <v>342.05099999999999</v>
      </c>
    </row>
    <row r="66" spans="1:4" x14ac:dyDescent="0.25">
      <c r="A66" s="30" t="s">
        <v>75</v>
      </c>
      <c r="B66" s="30">
        <v>405</v>
      </c>
      <c r="C66" s="30">
        <v>-3</v>
      </c>
      <c r="D66" s="30">
        <f t="shared" si="0"/>
        <v>392.84999999999997</v>
      </c>
    </row>
    <row r="67" spans="1:4" x14ac:dyDescent="0.25">
      <c r="A67" s="30" t="s">
        <v>76</v>
      </c>
      <c r="B67" s="30">
        <v>287</v>
      </c>
      <c r="C67" s="30">
        <v>0.8</v>
      </c>
      <c r="D67" s="30">
        <f t="shared" ref="D67:D86" si="1">B67*(1+C67/100)</f>
        <v>289.29599999999999</v>
      </c>
    </row>
    <row r="68" spans="1:4" x14ac:dyDescent="0.25">
      <c r="A68" s="30" t="s">
        <v>77</v>
      </c>
      <c r="B68" s="30">
        <v>462</v>
      </c>
      <c r="C68" s="30">
        <v>7.8</v>
      </c>
      <c r="D68" s="30">
        <f t="shared" si="1"/>
        <v>498.03600000000006</v>
      </c>
    </row>
    <row r="69" spans="1:4" x14ac:dyDescent="0.25">
      <c r="A69" s="30" t="s">
        <v>78</v>
      </c>
      <c r="B69" s="30">
        <v>227</v>
      </c>
      <c r="C69" s="30">
        <v>-11.9</v>
      </c>
      <c r="D69" s="30">
        <f t="shared" si="1"/>
        <v>199.98699999999999</v>
      </c>
    </row>
    <row r="70" spans="1:4" x14ac:dyDescent="0.25">
      <c r="A70" s="30" t="s">
        <v>79</v>
      </c>
      <c r="B70" s="30">
        <v>374</v>
      </c>
      <c r="C70" s="30">
        <v>-6.2</v>
      </c>
      <c r="D70" s="30">
        <f t="shared" si="1"/>
        <v>350.81199999999995</v>
      </c>
    </row>
    <row r="71" spans="1:4" x14ac:dyDescent="0.25">
      <c r="A71" s="30" t="s">
        <v>80</v>
      </c>
      <c r="B71" s="30">
        <v>246</v>
      </c>
      <c r="C71" s="30">
        <v>-6.8</v>
      </c>
      <c r="D71" s="30">
        <f t="shared" si="1"/>
        <v>229.27199999999999</v>
      </c>
    </row>
    <row r="72" spans="1:4" x14ac:dyDescent="0.25">
      <c r="A72" s="30" t="s">
        <v>81</v>
      </c>
      <c r="B72" s="30">
        <v>219</v>
      </c>
      <c r="C72" s="30">
        <v>6.4</v>
      </c>
      <c r="D72" s="30">
        <f t="shared" si="1"/>
        <v>233.01600000000002</v>
      </c>
    </row>
    <row r="73" spans="1:4" x14ac:dyDescent="0.25">
      <c r="A73" s="30" t="s">
        <v>82</v>
      </c>
      <c r="B73" s="30">
        <v>417</v>
      </c>
      <c r="C73" s="30">
        <v>-3</v>
      </c>
      <c r="D73" s="30">
        <f t="shared" si="1"/>
        <v>404.49</v>
      </c>
    </row>
    <row r="74" spans="1:4" x14ac:dyDescent="0.25">
      <c r="A74" s="30" t="s">
        <v>83</v>
      </c>
      <c r="B74" s="30">
        <v>304</v>
      </c>
      <c r="C74" s="30">
        <v>-13.1</v>
      </c>
      <c r="D74" s="30">
        <f t="shared" si="1"/>
        <v>264.17599999999999</v>
      </c>
    </row>
    <row r="75" spans="1:4" x14ac:dyDescent="0.25">
      <c r="A75" s="30" t="s">
        <v>85</v>
      </c>
      <c r="B75" s="30">
        <v>323</v>
      </c>
      <c r="C75" s="30">
        <v>-5.3</v>
      </c>
      <c r="D75" s="30">
        <f t="shared" si="1"/>
        <v>305.88099999999997</v>
      </c>
    </row>
    <row r="76" spans="1:4" x14ac:dyDescent="0.25">
      <c r="A76" s="30" t="s">
        <v>86</v>
      </c>
      <c r="B76" s="30">
        <v>434</v>
      </c>
      <c r="C76" s="30">
        <v>-12.1</v>
      </c>
      <c r="D76" s="30">
        <f t="shared" si="1"/>
        <v>381.48599999999999</v>
      </c>
    </row>
    <row r="77" spans="1:4" x14ac:dyDescent="0.25">
      <c r="A77" s="30" t="s">
        <v>88</v>
      </c>
      <c r="B77" s="30">
        <v>318</v>
      </c>
      <c r="C77" s="30">
        <v>3.5</v>
      </c>
      <c r="D77" s="30">
        <f t="shared" si="1"/>
        <v>329.13</v>
      </c>
    </row>
    <row r="78" spans="1:4" x14ac:dyDescent="0.25">
      <c r="A78" s="30" t="s">
        <v>89</v>
      </c>
      <c r="B78" s="30">
        <v>324</v>
      </c>
      <c r="C78" s="30">
        <v>-2.8</v>
      </c>
      <c r="D78" s="30">
        <f t="shared" si="1"/>
        <v>314.928</v>
      </c>
    </row>
    <row r="79" spans="1:4" x14ac:dyDescent="0.25">
      <c r="A79" s="30" t="s">
        <v>90</v>
      </c>
      <c r="B79" s="30">
        <v>212</v>
      </c>
      <c r="C79" s="30">
        <v>2.8</v>
      </c>
      <c r="D79" s="30">
        <f t="shared" si="1"/>
        <v>217.93600000000001</v>
      </c>
    </row>
    <row r="80" spans="1:4" x14ac:dyDescent="0.25">
      <c r="A80" s="30" t="s">
        <v>91</v>
      </c>
      <c r="B80" s="30">
        <v>476</v>
      </c>
      <c r="C80" s="30">
        <v>-3.3</v>
      </c>
      <c r="D80" s="30">
        <f t="shared" si="1"/>
        <v>460.29199999999997</v>
      </c>
    </row>
    <row r="81" spans="1:4" x14ac:dyDescent="0.25">
      <c r="A81" s="30" t="s">
        <v>92</v>
      </c>
      <c r="B81" s="30">
        <v>387</v>
      </c>
      <c r="C81" s="30">
        <v>-9.3000000000000007</v>
      </c>
      <c r="D81" s="30">
        <f t="shared" si="1"/>
        <v>351.00900000000001</v>
      </c>
    </row>
    <row r="82" spans="1:4" x14ac:dyDescent="0.25">
      <c r="A82" s="30" t="s">
        <v>93</v>
      </c>
      <c r="B82" s="30">
        <v>222</v>
      </c>
      <c r="C82" s="30">
        <v>3.6</v>
      </c>
      <c r="D82" s="30">
        <f t="shared" si="1"/>
        <v>229.99200000000002</v>
      </c>
    </row>
    <row r="83" spans="1:4" x14ac:dyDescent="0.25">
      <c r="A83" s="30" t="s">
        <v>94</v>
      </c>
      <c r="B83" s="30">
        <v>373</v>
      </c>
      <c r="C83" s="30">
        <v>6.4</v>
      </c>
      <c r="D83" s="30">
        <f t="shared" si="1"/>
        <v>396.87200000000001</v>
      </c>
    </row>
    <row r="84" spans="1:4" x14ac:dyDescent="0.25">
      <c r="A84" s="30" t="s">
        <v>95</v>
      </c>
      <c r="B84" s="30">
        <v>358</v>
      </c>
      <c r="C84" s="30">
        <v>-5.3</v>
      </c>
      <c r="D84" s="30">
        <f t="shared" si="1"/>
        <v>339.02600000000001</v>
      </c>
    </row>
    <row r="85" spans="1:4" x14ac:dyDescent="0.25">
      <c r="A85" s="30" t="s">
        <v>96</v>
      </c>
      <c r="B85" s="30">
        <v>455</v>
      </c>
      <c r="C85" s="30">
        <v>6.6</v>
      </c>
      <c r="D85" s="30">
        <f t="shared" si="1"/>
        <v>485.03000000000003</v>
      </c>
    </row>
    <row r="86" spans="1:4" x14ac:dyDescent="0.25">
      <c r="A86" s="30" t="s">
        <v>97</v>
      </c>
      <c r="B86" s="30">
        <v>304</v>
      </c>
      <c r="C86" s="30">
        <v>-3.6</v>
      </c>
      <c r="D86" s="30">
        <f t="shared" si="1"/>
        <v>293.05599999999998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"/>
  <sheetViews>
    <sheetView topLeftCell="A10" workbookViewId="0">
      <selection activeCell="D1" sqref="D1"/>
    </sheetView>
  </sheetViews>
  <sheetFormatPr defaultRowHeight="15" x14ac:dyDescent="0.25"/>
  <cols>
    <col min="1" max="1" width="29.85546875" customWidth="1"/>
    <col min="2" max="2" width="37.140625" customWidth="1"/>
  </cols>
  <sheetData>
    <row r="1" spans="1:2" ht="45" x14ac:dyDescent="0.25">
      <c r="A1" s="39" t="s">
        <v>1</v>
      </c>
      <c r="B1" s="39" t="s">
        <v>144</v>
      </c>
    </row>
    <row r="2" spans="1:2" x14ac:dyDescent="0.25">
      <c r="A2" s="30" t="s">
        <v>7</v>
      </c>
      <c r="B2" s="30">
        <v>297</v>
      </c>
    </row>
    <row r="3" spans="1:2" x14ac:dyDescent="0.25">
      <c r="A3" s="30" t="s">
        <v>8</v>
      </c>
      <c r="B3" s="30">
        <v>112</v>
      </c>
    </row>
    <row r="4" spans="1:2" x14ac:dyDescent="0.25">
      <c r="A4" s="30" t="s">
        <v>9</v>
      </c>
      <c r="B4" s="30">
        <v>147</v>
      </c>
    </row>
    <row r="5" spans="1:2" x14ac:dyDescent="0.25">
      <c r="A5" s="30" t="s">
        <v>10</v>
      </c>
      <c r="B5" s="30">
        <v>250</v>
      </c>
    </row>
    <row r="6" spans="1:2" x14ac:dyDescent="0.25">
      <c r="A6" s="30" t="s">
        <v>11</v>
      </c>
      <c r="B6" s="30">
        <v>44</v>
      </c>
    </row>
    <row r="7" spans="1:2" x14ac:dyDescent="0.25">
      <c r="A7" s="30" t="s">
        <v>12</v>
      </c>
      <c r="B7" s="30">
        <v>208</v>
      </c>
    </row>
    <row r="8" spans="1:2" x14ac:dyDescent="0.25">
      <c r="A8" s="30" t="s">
        <v>16</v>
      </c>
      <c r="B8" s="30">
        <v>122</v>
      </c>
    </row>
    <row r="9" spans="1:2" x14ac:dyDescent="0.25">
      <c r="A9" s="30" t="s">
        <v>17</v>
      </c>
      <c r="B9" s="30">
        <v>255</v>
      </c>
    </row>
    <row r="10" spans="1:2" x14ac:dyDescent="0.25">
      <c r="A10" s="30" t="s">
        <v>18</v>
      </c>
      <c r="B10" s="30">
        <v>194</v>
      </c>
    </row>
    <row r="11" spans="1:2" x14ac:dyDescent="0.25">
      <c r="A11" s="30" t="s">
        <v>19</v>
      </c>
      <c r="B11" s="30">
        <v>267</v>
      </c>
    </row>
    <row r="12" spans="1:2" x14ac:dyDescent="0.25">
      <c r="A12" s="30" t="s">
        <v>20</v>
      </c>
      <c r="B12" s="30">
        <v>284</v>
      </c>
    </row>
    <row r="13" spans="1:2" x14ac:dyDescent="0.25">
      <c r="A13" s="30" t="s">
        <v>21</v>
      </c>
      <c r="B13" s="30">
        <v>201</v>
      </c>
    </row>
    <row r="14" spans="1:2" x14ac:dyDescent="0.25">
      <c r="A14" s="30" t="s">
        <v>22</v>
      </c>
      <c r="B14" s="30">
        <v>111</v>
      </c>
    </row>
    <row r="15" spans="1:2" x14ac:dyDescent="0.25">
      <c r="A15" s="30" t="s">
        <v>23</v>
      </c>
      <c r="B15" s="30">
        <v>234</v>
      </c>
    </row>
    <row r="16" spans="1:2" x14ac:dyDescent="0.25">
      <c r="A16" s="30" t="s">
        <v>24</v>
      </c>
      <c r="B16" s="30">
        <v>216</v>
      </c>
    </row>
    <row r="17" spans="1:2" x14ac:dyDescent="0.25">
      <c r="A17" s="30" t="s">
        <v>25</v>
      </c>
      <c r="B17" s="30">
        <v>202</v>
      </c>
    </row>
    <row r="18" spans="1:2" x14ac:dyDescent="0.25">
      <c r="A18" s="30" t="s">
        <v>26</v>
      </c>
      <c r="B18" s="30">
        <v>240</v>
      </c>
    </row>
    <row r="19" spans="1:2" x14ac:dyDescent="0.25">
      <c r="A19" s="30" t="s">
        <v>27</v>
      </c>
      <c r="B19" s="30">
        <v>281</v>
      </c>
    </row>
    <row r="20" spans="1:2" x14ac:dyDescent="0.25">
      <c r="A20" s="30" t="s">
        <v>28</v>
      </c>
      <c r="B20" s="30">
        <v>98</v>
      </c>
    </row>
    <row r="21" spans="1:2" x14ac:dyDescent="0.25">
      <c r="A21" s="30" t="s">
        <v>29</v>
      </c>
      <c r="B21" s="30">
        <v>211</v>
      </c>
    </row>
    <row r="22" spans="1:2" x14ac:dyDescent="0.25">
      <c r="A22" s="30" t="s">
        <v>30</v>
      </c>
      <c r="B22" s="30">
        <v>222</v>
      </c>
    </row>
    <row r="23" spans="1:2" x14ac:dyDescent="0.25">
      <c r="A23" s="30" t="s">
        <v>31</v>
      </c>
      <c r="B23" s="30">
        <v>191</v>
      </c>
    </row>
    <row r="24" spans="1:2" x14ac:dyDescent="0.25">
      <c r="A24" s="30" t="s">
        <v>32</v>
      </c>
      <c r="B24" s="30">
        <v>203</v>
      </c>
    </row>
    <row r="25" spans="1:2" x14ac:dyDescent="0.25">
      <c r="A25" s="30" t="s">
        <v>33</v>
      </c>
      <c r="B25" s="30">
        <v>223</v>
      </c>
    </row>
    <row r="26" spans="1:2" x14ac:dyDescent="0.25">
      <c r="A26" s="30" t="s">
        <v>34</v>
      </c>
      <c r="B26" s="30">
        <v>102</v>
      </c>
    </row>
    <row r="27" spans="1:2" x14ac:dyDescent="0.25">
      <c r="A27" s="30" t="s">
        <v>35</v>
      </c>
      <c r="B27" s="30">
        <v>156</v>
      </c>
    </row>
    <row r="28" spans="1:2" x14ac:dyDescent="0.25">
      <c r="A28" s="30" t="s">
        <v>36</v>
      </c>
      <c r="B28" s="30">
        <v>632</v>
      </c>
    </row>
    <row r="29" spans="1:2" x14ac:dyDescent="0.25">
      <c r="A29" s="30" t="s">
        <v>37</v>
      </c>
      <c r="B29" s="30">
        <v>220</v>
      </c>
    </row>
    <row r="30" spans="1:2" x14ac:dyDescent="0.25">
      <c r="A30" s="30" t="s">
        <v>38</v>
      </c>
      <c r="B30" s="30">
        <v>184</v>
      </c>
    </row>
    <row r="31" spans="1:2" x14ac:dyDescent="0.25">
      <c r="A31" s="30" t="s">
        <v>39</v>
      </c>
      <c r="B31" s="30">
        <v>180</v>
      </c>
    </row>
    <row r="32" spans="1:2" x14ac:dyDescent="0.25">
      <c r="A32" s="30" t="s">
        <v>40</v>
      </c>
      <c r="B32" s="30">
        <v>235</v>
      </c>
    </row>
    <row r="33" spans="1:2" x14ac:dyDescent="0.25">
      <c r="A33" s="30" t="s">
        <v>41</v>
      </c>
      <c r="B33" s="30">
        <v>240</v>
      </c>
    </row>
    <row r="34" spans="1:2" x14ac:dyDescent="0.25">
      <c r="A34" s="30" t="s">
        <v>42</v>
      </c>
      <c r="B34" s="30">
        <v>264</v>
      </c>
    </row>
    <row r="35" spans="1:2" x14ac:dyDescent="0.25">
      <c r="A35" s="30" t="s">
        <v>43</v>
      </c>
      <c r="B35" s="30">
        <v>260</v>
      </c>
    </row>
    <row r="36" spans="1:2" x14ac:dyDescent="0.25">
      <c r="A36" s="30" t="s">
        <v>44</v>
      </c>
      <c r="B36" s="30">
        <v>157</v>
      </c>
    </row>
    <row r="37" spans="1:2" x14ac:dyDescent="0.25">
      <c r="A37" s="30" t="s">
        <v>45</v>
      </c>
      <c r="B37" s="30">
        <v>259</v>
      </c>
    </row>
    <row r="38" spans="1:2" x14ac:dyDescent="0.25">
      <c r="A38" s="30" t="s">
        <v>46</v>
      </c>
      <c r="B38" s="30">
        <v>121</v>
      </c>
    </row>
    <row r="39" spans="1:2" x14ac:dyDescent="0.25">
      <c r="A39" s="30" t="s">
        <v>47</v>
      </c>
      <c r="B39" s="30">
        <v>133</v>
      </c>
    </row>
    <row r="40" spans="1:2" x14ac:dyDescent="0.25">
      <c r="A40" s="30" t="s">
        <v>48</v>
      </c>
      <c r="B40" s="30">
        <v>208</v>
      </c>
    </row>
    <row r="41" spans="1:2" x14ac:dyDescent="0.25">
      <c r="A41" s="30" t="s">
        <v>49</v>
      </c>
      <c r="B41" s="30">
        <v>166</v>
      </c>
    </row>
    <row r="42" spans="1:2" x14ac:dyDescent="0.25">
      <c r="A42" s="30" t="s">
        <v>50</v>
      </c>
      <c r="B42" s="30">
        <v>323</v>
      </c>
    </row>
    <row r="43" spans="1:2" x14ac:dyDescent="0.25">
      <c r="A43" s="30" t="s">
        <v>51</v>
      </c>
      <c r="B43" s="30">
        <v>141</v>
      </c>
    </row>
    <row r="44" spans="1:2" x14ac:dyDescent="0.25">
      <c r="A44" s="30" t="s">
        <v>52</v>
      </c>
      <c r="B44" s="30">
        <v>213</v>
      </c>
    </row>
    <row r="45" spans="1:2" x14ac:dyDescent="0.25">
      <c r="A45" s="30" t="s">
        <v>53</v>
      </c>
      <c r="B45" s="30">
        <v>203</v>
      </c>
    </row>
    <row r="46" spans="1:2" x14ac:dyDescent="0.25">
      <c r="A46" s="30" t="s">
        <v>54</v>
      </c>
      <c r="B46" s="30">
        <v>159</v>
      </c>
    </row>
    <row r="47" spans="1:2" x14ac:dyDescent="0.25">
      <c r="A47" s="30" t="s">
        <v>55</v>
      </c>
      <c r="B47" s="30">
        <v>251</v>
      </c>
    </row>
    <row r="48" spans="1:2" x14ac:dyDescent="0.25">
      <c r="A48" s="30" t="s">
        <v>56</v>
      </c>
      <c r="B48" s="30">
        <v>181</v>
      </c>
    </row>
    <row r="49" spans="1:2" x14ac:dyDescent="0.25">
      <c r="A49" s="30" t="s">
        <v>57</v>
      </c>
      <c r="B49" s="30">
        <v>139</v>
      </c>
    </row>
    <row r="50" spans="1:2" x14ac:dyDescent="0.25">
      <c r="A50" s="30" t="s">
        <v>58</v>
      </c>
      <c r="B50" s="30">
        <v>305</v>
      </c>
    </row>
    <row r="51" spans="1:2" x14ac:dyDescent="0.25">
      <c r="A51" s="30" t="s">
        <v>59</v>
      </c>
      <c r="B51" s="30">
        <v>151</v>
      </c>
    </row>
    <row r="52" spans="1:2" x14ac:dyDescent="0.25">
      <c r="A52" s="30" t="s">
        <v>60</v>
      </c>
      <c r="B52" s="30">
        <v>296</v>
      </c>
    </row>
    <row r="53" spans="1:2" x14ac:dyDescent="0.25">
      <c r="A53" s="30" t="s">
        <v>61</v>
      </c>
      <c r="B53" s="30">
        <v>257</v>
      </c>
    </row>
    <row r="54" spans="1:2" x14ac:dyDescent="0.25">
      <c r="A54" s="30" t="s">
        <v>62</v>
      </c>
      <c r="B54" s="30">
        <v>176</v>
      </c>
    </row>
    <row r="55" spans="1:2" x14ac:dyDescent="0.25">
      <c r="A55" s="30" t="s">
        <v>63</v>
      </c>
      <c r="B55" s="30">
        <v>217</v>
      </c>
    </row>
    <row r="56" spans="1:2" x14ac:dyDescent="0.25">
      <c r="A56" s="30" t="s">
        <v>64</v>
      </c>
      <c r="B56" s="30">
        <v>112</v>
      </c>
    </row>
    <row r="57" spans="1:2" x14ac:dyDescent="0.25">
      <c r="A57" s="30" t="s">
        <v>65</v>
      </c>
      <c r="B57" s="30">
        <v>127</v>
      </c>
    </row>
    <row r="58" spans="1:2" x14ac:dyDescent="0.25">
      <c r="A58" s="30" t="s">
        <v>66</v>
      </c>
      <c r="B58" s="30">
        <v>211</v>
      </c>
    </row>
    <row r="59" spans="1:2" x14ac:dyDescent="0.25">
      <c r="A59" s="30" t="s">
        <v>68</v>
      </c>
      <c r="B59" s="30">
        <v>209</v>
      </c>
    </row>
    <row r="60" spans="1:2" x14ac:dyDescent="0.25">
      <c r="A60" s="30" t="s">
        <v>69</v>
      </c>
      <c r="B60" s="30">
        <v>283</v>
      </c>
    </row>
    <row r="61" spans="1:2" x14ac:dyDescent="0.25">
      <c r="A61" s="30" t="s">
        <v>70</v>
      </c>
      <c r="B61" s="30">
        <v>268</v>
      </c>
    </row>
    <row r="62" spans="1:2" x14ac:dyDescent="0.25">
      <c r="A62" s="30" t="s">
        <v>71</v>
      </c>
      <c r="B62" s="30">
        <v>208</v>
      </c>
    </row>
    <row r="63" spans="1:2" x14ac:dyDescent="0.25">
      <c r="A63" s="30" t="s">
        <v>72</v>
      </c>
      <c r="B63" s="30">
        <v>236</v>
      </c>
    </row>
    <row r="64" spans="1:2" x14ac:dyDescent="0.25">
      <c r="A64" s="30" t="s">
        <v>73</v>
      </c>
      <c r="B64" s="30">
        <v>229</v>
      </c>
    </row>
    <row r="65" spans="1:2" x14ac:dyDescent="0.25">
      <c r="A65" s="30" t="s">
        <v>74</v>
      </c>
      <c r="B65" s="30">
        <v>225</v>
      </c>
    </row>
    <row r="66" spans="1:2" x14ac:dyDescent="0.25">
      <c r="A66" s="30" t="s">
        <v>75</v>
      </c>
      <c r="B66" s="30">
        <v>280</v>
      </c>
    </row>
    <row r="67" spans="1:2" x14ac:dyDescent="0.25">
      <c r="A67" s="30" t="s">
        <v>76</v>
      </c>
      <c r="B67" s="30">
        <v>191</v>
      </c>
    </row>
    <row r="68" spans="1:2" x14ac:dyDescent="0.25">
      <c r="A68" s="30" t="s">
        <v>77</v>
      </c>
      <c r="B68" s="30">
        <v>284</v>
      </c>
    </row>
    <row r="69" spans="1:2" x14ac:dyDescent="0.25">
      <c r="A69" s="30" t="s">
        <v>78</v>
      </c>
      <c r="B69" s="30">
        <v>180</v>
      </c>
    </row>
    <row r="70" spans="1:2" x14ac:dyDescent="0.25">
      <c r="A70" s="30" t="s">
        <v>79</v>
      </c>
      <c r="B70" s="30">
        <v>238</v>
      </c>
    </row>
    <row r="71" spans="1:2" x14ac:dyDescent="0.25">
      <c r="A71" s="30" t="s">
        <v>80</v>
      </c>
      <c r="B71" s="30">
        <v>154</v>
      </c>
    </row>
    <row r="72" spans="1:2" x14ac:dyDescent="0.25">
      <c r="A72" s="30" t="s">
        <v>81</v>
      </c>
      <c r="B72" s="30">
        <v>149</v>
      </c>
    </row>
    <row r="73" spans="1:2" x14ac:dyDescent="0.25">
      <c r="A73" s="30" t="s">
        <v>82</v>
      </c>
      <c r="B73" s="30">
        <v>265</v>
      </c>
    </row>
    <row r="74" spans="1:2" x14ac:dyDescent="0.25">
      <c r="A74" s="30" t="s">
        <v>83</v>
      </c>
      <c r="B74" s="30">
        <v>215</v>
      </c>
    </row>
    <row r="75" spans="1:2" x14ac:dyDescent="0.25">
      <c r="A75" s="30" t="s">
        <v>85</v>
      </c>
      <c r="B75" s="30">
        <v>232</v>
      </c>
    </row>
    <row r="76" spans="1:2" x14ac:dyDescent="0.25">
      <c r="A76" s="30" t="s">
        <v>86</v>
      </c>
      <c r="B76" s="30">
        <v>298</v>
      </c>
    </row>
    <row r="77" spans="1:2" x14ac:dyDescent="0.25">
      <c r="A77" s="30" t="s">
        <v>88</v>
      </c>
      <c r="B77" s="30">
        <v>216</v>
      </c>
    </row>
    <row r="78" spans="1:2" x14ac:dyDescent="0.25">
      <c r="A78" s="30" t="s">
        <v>89</v>
      </c>
      <c r="B78" s="30">
        <v>201</v>
      </c>
    </row>
    <row r="79" spans="1:2" x14ac:dyDescent="0.25">
      <c r="A79" s="30" t="s">
        <v>90</v>
      </c>
      <c r="B79" s="30">
        <v>145</v>
      </c>
    </row>
    <row r="80" spans="1:2" x14ac:dyDescent="0.25">
      <c r="A80" s="30" t="s">
        <v>91</v>
      </c>
      <c r="B80" s="30">
        <v>315</v>
      </c>
    </row>
    <row r="81" spans="1:2" x14ac:dyDescent="0.25">
      <c r="A81" s="30" t="s">
        <v>92</v>
      </c>
      <c r="B81" s="30">
        <v>216</v>
      </c>
    </row>
    <row r="82" spans="1:2" x14ac:dyDescent="0.25">
      <c r="A82" s="30" t="s">
        <v>93</v>
      </c>
      <c r="B82" s="30">
        <v>144</v>
      </c>
    </row>
    <row r="83" spans="1:2" x14ac:dyDescent="0.25">
      <c r="A83" s="30" t="s">
        <v>94</v>
      </c>
      <c r="B83" s="30">
        <v>222</v>
      </c>
    </row>
    <row r="84" spans="1:2" x14ac:dyDescent="0.25">
      <c r="A84" s="30" t="s">
        <v>95</v>
      </c>
      <c r="B84" s="30">
        <v>222</v>
      </c>
    </row>
    <row r="85" spans="1:2" x14ac:dyDescent="0.25">
      <c r="A85" s="30" t="s">
        <v>96</v>
      </c>
      <c r="B85" s="30">
        <v>295</v>
      </c>
    </row>
    <row r="86" spans="1:2" x14ac:dyDescent="0.25">
      <c r="A86" s="30" t="s">
        <v>97</v>
      </c>
      <c r="B86" s="30">
        <v>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>
      <selection activeCell="G1" sqref="G1"/>
    </sheetView>
  </sheetViews>
  <sheetFormatPr defaultRowHeight="15" x14ac:dyDescent="0.25"/>
  <cols>
    <col min="2" max="2" width="42.85546875" customWidth="1"/>
  </cols>
  <sheetData>
    <row r="1" spans="1:6" ht="210" x14ac:dyDescent="0.25">
      <c r="A1" s="39" t="s">
        <v>0</v>
      </c>
      <c r="B1" s="39" t="s">
        <v>1</v>
      </c>
      <c r="C1" s="39" t="s">
        <v>144</v>
      </c>
      <c r="D1" s="39" t="s">
        <v>145</v>
      </c>
      <c r="E1" s="39" t="s">
        <v>146</v>
      </c>
      <c r="F1" s="39" t="s">
        <v>147</v>
      </c>
    </row>
    <row r="2" spans="1:6" x14ac:dyDescent="0.25">
      <c r="A2" s="30">
        <v>80</v>
      </c>
      <c r="B2" s="30" t="s">
        <v>7</v>
      </c>
      <c r="C2" s="30">
        <v>297</v>
      </c>
      <c r="D2" s="30">
        <v>-16.600000000000001</v>
      </c>
      <c r="E2" s="30">
        <v>136</v>
      </c>
      <c r="F2" s="30">
        <v>71</v>
      </c>
    </row>
    <row r="3" spans="1:6" x14ac:dyDescent="0.25">
      <c r="A3" s="30">
        <v>6</v>
      </c>
      <c r="B3" s="30" t="s">
        <v>8</v>
      </c>
      <c r="C3" s="30">
        <v>112</v>
      </c>
      <c r="D3" s="30">
        <v>-13.5</v>
      </c>
      <c r="E3" s="30">
        <v>67</v>
      </c>
      <c r="F3" s="30">
        <v>85</v>
      </c>
    </row>
    <row r="4" spans="1:6" x14ac:dyDescent="0.25">
      <c r="A4" s="30">
        <v>15</v>
      </c>
      <c r="B4" s="30" t="s">
        <v>9</v>
      </c>
      <c r="C4" s="30">
        <v>147</v>
      </c>
      <c r="D4" s="30">
        <v>54.5</v>
      </c>
      <c r="E4" s="30">
        <v>36</v>
      </c>
      <c r="F4" s="30">
        <v>222</v>
      </c>
    </row>
    <row r="5" spans="1:6" x14ac:dyDescent="0.25">
      <c r="A5" s="30">
        <v>63</v>
      </c>
      <c r="B5" s="30" t="s">
        <v>10</v>
      </c>
      <c r="C5" s="30">
        <v>250</v>
      </c>
      <c r="D5" s="30">
        <v>-4.7</v>
      </c>
      <c r="E5" s="30">
        <v>98</v>
      </c>
      <c r="F5" s="30">
        <v>73</v>
      </c>
    </row>
    <row r="6" spans="1:6" x14ac:dyDescent="0.25">
      <c r="A6" s="30">
        <v>1</v>
      </c>
      <c r="B6" s="30" t="s">
        <v>11</v>
      </c>
      <c r="C6" s="30">
        <v>44</v>
      </c>
      <c r="D6" s="30">
        <v>-6.2</v>
      </c>
      <c r="E6" s="30">
        <v>18</v>
      </c>
      <c r="F6" s="30">
        <v>264</v>
      </c>
    </row>
    <row r="7" spans="1:6" x14ac:dyDescent="0.25">
      <c r="A7" s="30">
        <v>39</v>
      </c>
      <c r="B7" s="30" t="s">
        <v>12</v>
      </c>
      <c r="C7" s="30">
        <v>208</v>
      </c>
      <c r="D7" s="30">
        <v>-6.5</v>
      </c>
      <c r="E7" s="30">
        <v>110</v>
      </c>
      <c r="F7" s="30">
        <v>65</v>
      </c>
    </row>
    <row r="8" spans="1:6" x14ac:dyDescent="0.25">
      <c r="A8" s="30">
        <v>8</v>
      </c>
      <c r="B8" s="30" t="s">
        <v>16</v>
      </c>
      <c r="C8" s="30">
        <v>122</v>
      </c>
      <c r="D8" s="30">
        <v>-13.8</v>
      </c>
      <c r="E8" s="30">
        <v>86</v>
      </c>
      <c r="F8" s="30">
        <v>75</v>
      </c>
    </row>
    <row r="9" spans="1:6" x14ac:dyDescent="0.25">
      <c r="A9" s="30">
        <v>65</v>
      </c>
      <c r="B9" s="30" t="s">
        <v>17</v>
      </c>
      <c r="C9" s="30">
        <v>255</v>
      </c>
      <c r="D9" s="30">
        <v>-14.2</v>
      </c>
      <c r="E9" s="30">
        <v>128</v>
      </c>
      <c r="F9" s="30">
        <v>73</v>
      </c>
    </row>
    <row r="10" spans="1:6" x14ac:dyDescent="0.25">
      <c r="A10" s="30">
        <v>30</v>
      </c>
      <c r="B10" s="30" t="s">
        <v>18</v>
      </c>
      <c r="C10" s="30">
        <v>194</v>
      </c>
      <c r="D10" s="30">
        <v>-5.6</v>
      </c>
      <c r="E10" s="30">
        <v>98</v>
      </c>
      <c r="F10" s="30">
        <v>75</v>
      </c>
    </row>
    <row r="11" spans="1:6" x14ac:dyDescent="0.25">
      <c r="A11" s="30">
        <v>71</v>
      </c>
      <c r="B11" s="30" t="s">
        <v>19</v>
      </c>
      <c r="C11" s="30">
        <v>267</v>
      </c>
      <c r="D11" s="30">
        <v>-1.5</v>
      </c>
      <c r="E11" s="30">
        <v>129</v>
      </c>
      <c r="F11" s="30">
        <v>59</v>
      </c>
    </row>
    <row r="12" spans="1:6" x14ac:dyDescent="0.25">
      <c r="A12" s="30">
        <v>77</v>
      </c>
      <c r="B12" s="30" t="s">
        <v>20</v>
      </c>
      <c r="C12" s="30">
        <v>284</v>
      </c>
      <c r="D12" s="30">
        <v>-14.9</v>
      </c>
      <c r="E12" s="30">
        <v>175</v>
      </c>
      <c r="F12" s="30">
        <v>54</v>
      </c>
    </row>
    <row r="13" spans="1:6" x14ac:dyDescent="0.25">
      <c r="A13" s="30">
        <v>32</v>
      </c>
      <c r="B13" s="30" t="s">
        <v>21</v>
      </c>
      <c r="C13" s="30">
        <v>201</v>
      </c>
      <c r="D13" s="30">
        <v>-12.2</v>
      </c>
      <c r="E13" s="30">
        <v>131</v>
      </c>
      <c r="F13" s="30">
        <v>90</v>
      </c>
    </row>
    <row r="14" spans="1:6" x14ac:dyDescent="0.25">
      <c r="A14" s="30">
        <v>4</v>
      </c>
      <c r="B14" s="30" t="s">
        <v>22</v>
      </c>
      <c r="C14" s="30">
        <v>111</v>
      </c>
      <c r="D14" s="30">
        <v>-17.7</v>
      </c>
      <c r="E14" s="30">
        <v>55</v>
      </c>
      <c r="F14" s="30">
        <v>117</v>
      </c>
    </row>
    <row r="15" spans="1:6" x14ac:dyDescent="0.25">
      <c r="A15" s="30">
        <v>57</v>
      </c>
      <c r="B15" s="30" t="s">
        <v>23</v>
      </c>
      <c r="C15" s="30">
        <v>234</v>
      </c>
      <c r="D15" s="30">
        <v>-4.5999999999999996</v>
      </c>
      <c r="E15" s="30">
        <v>145</v>
      </c>
      <c r="F15" s="30">
        <v>79</v>
      </c>
    </row>
    <row r="16" spans="1:6" x14ac:dyDescent="0.25">
      <c r="A16" s="30">
        <v>45</v>
      </c>
      <c r="B16" s="30" t="s">
        <v>24</v>
      </c>
      <c r="C16" s="30">
        <v>216</v>
      </c>
      <c r="D16" s="30">
        <v>-9.8000000000000007</v>
      </c>
      <c r="E16" s="30">
        <v>124</v>
      </c>
      <c r="F16" s="30">
        <v>86</v>
      </c>
    </row>
    <row r="17" spans="1:6" x14ac:dyDescent="0.25">
      <c r="A17" s="30">
        <v>33</v>
      </c>
      <c r="B17" s="30" t="s">
        <v>25</v>
      </c>
      <c r="C17" s="30">
        <v>202</v>
      </c>
      <c r="D17" s="30">
        <v>-13.2</v>
      </c>
      <c r="E17" s="30">
        <v>96</v>
      </c>
      <c r="F17" s="30">
        <v>87</v>
      </c>
    </row>
    <row r="18" spans="1:6" x14ac:dyDescent="0.25">
      <c r="A18" s="30">
        <v>62</v>
      </c>
      <c r="B18" s="30" t="s">
        <v>26</v>
      </c>
      <c r="C18" s="30">
        <v>240</v>
      </c>
      <c r="D18" s="30">
        <v>0.4</v>
      </c>
      <c r="E18" s="30">
        <v>99</v>
      </c>
      <c r="F18" s="30">
        <v>104</v>
      </c>
    </row>
    <row r="19" spans="1:6" x14ac:dyDescent="0.25">
      <c r="A19" s="30">
        <v>74</v>
      </c>
      <c r="B19" s="30" t="s">
        <v>27</v>
      </c>
      <c r="C19" s="30">
        <v>281</v>
      </c>
      <c r="D19" s="30">
        <v>-2.7</v>
      </c>
      <c r="E19" s="30">
        <v>122</v>
      </c>
      <c r="F19" s="30">
        <v>29</v>
      </c>
    </row>
    <row r="20" spans="1:6" x14ac:dyDescent="0.25">
      <c r="A20" s="30">
        <v>2</v>
      </c>
      <c r="B20" s="30" t="s">
        <v>28</v>
      </c>
      <c r="C20" s="30">
        <v>98</v>
      </c>
      <c r="D20" s="30">
        <v>-9.5</v>
      </c>
      <c r="E20" s="30">
        <v>66</v>
      </c>
      <c r="F20" s="30">
        <v>93</v>
      </c>
    </row>
    <row r="21" spans="1:6" x14ac:dyDescent="0.25">
      <c r="A21" s="30">
        <v>41</v>
      </c>
      <c r="B21" s="30" t="s">
        <v>29</v>
      </c>
      <c r="C21" s="30">
        <v>211</v>
      </c>
      <c r="D21" s="30">
        <v>-8.8000000000000007</v>
      </c>
      <c r="E21" s="30">
        <v>118</v>
      </c>
      <c r="F21" s="30">
        <v>85</v>
      </c>
    </row>
    <row r="22" spans="1:6" x14ac:dyDescent="0.25">
      <c r="A22" s="30">
        <v>51</v>
      </c>
      <c r="B22" s="30" t="s">
        <v>30</v>
      </c>
      <c r="C22" s="30">
        <v>222</v>
      </c>
      <c r="D22" s="30">
        <v>-5.9</v>
      </c>
      <c r="E22" s="30">
        <v>127</v>
      </c>
      <c r="F22" s="30">
        <v>75</v>
      </c>
    </row>
    <row r="23" spans="1:6" x14ac:dyDescent="0.25">
      <c r="A23" s="30">
        <v>28</v>
      </c>
      <c r="B23" s="30" t="s">
        <v>31</v>
      </c>
      <c r="C23" s="30">
        <v>191</v>
      </c>
      <c r="D23" s="30">
        <v>-19.5</v>
      </c>
      <c r="E23" s="30">
        <v>85</v>
      </c>
      <c r="F23" s="30">
        <v>35</v>
      </c>
    </row>
    <row r="24" spans="1:6" x14ac:dyDescent="0.25">
      <c r="A24" s="30">
        <v>34</v>
      </c>
      <c r="B24" s="30" t="s">
        <v>32</v>
      </c>
      <c r="C24" s="30">
        <v>203</v>
      </c>
      <c r="D24" s="30">
        <v>-9.3000000000000007</v>
      </c>
      <c r="E24" s="30">
        <v>104</v>
      </c>
      <c r="F24" s="30">
        <v>66</v>
      </c>
    </row>
    <row r="25" spans="1:6" x14ac:dyDescent="0.25">
      <c r="A25" s="30">
        <v>53</v>
      </c>
      <c r="B25" s="30" t="s">
        <v>33</v>
      </c>
      <c r="C25" s="30">
        <v>223</v>
      </c>
      <c r="D25" s="30">
        <v>-12.2</v>
      </c>
      <c r="E25" s="30">
        <v>153</v>
      </c>
      <c r="F25" s="30">
        <v>78</v>
      </c>
    </row>
    <row r="26" spans="1:6" x14ac:dyDescent="0.25">
      <c r="A26" s="30">
        <v>3</v>
      </c>
      <c r="B26" s="30" t="s">
        <v>34</v>
      </c>
      <c r="C26" s="30">
        <v>102</v>
      </c>
      <c r="D26" s="30">
        <v>-23.3</v>
      </c>
      <c r="E26" s="30">
        <v>57</v>
      </c>
      <c r="F26" s="30">
        <v>128</v>
      </c>
    </row>
    <row r="27" spans="1:6" x14ac:dyDescent="0.25">
      <c r="A27" s="30">
        <v>19</v>
      </c>
      <c r="B27" s="30" t="s">
        <v>35</v>
      </c>
      <c r="C27" s="30">
        <v>156</v>
      </c>
      <c r="D27" s="30">
        <v>6.7</v>
      </c>
      <c r="E27" s="30">
        <v>101</v>
      </c>
      <c r="F27" s="30">
        <v>93</v>
      </c>
    </row>
    <row r="28" spans="1:6" x14ac:dyDescent="0.25">
      <c r="A28" s="30">
        <v>85</v>
      </c>
      <c r="B28" s="30" t="s">
        <v>36</v>
      </c>
      <c r="C28" s="30">
        <v>632</v>
      </c>
      <c r="D28" s="30">
        <v>-2.7</v>
      </c>
      <c r="E28" s="30">
        <v>202</v>
      </c>
      <c r="F28" s="30">
        <v>117</v>
      </c>
    </row>
    <row r="29" spans="1:6" x14ac:dyDescent="0.25">
      <c r="A29" s="30">
        <v>49</v>
      </c>
      <c r="B29" s="30" t="s">
        <v>37</v>
      </c>
      <c r="C29" s="30">
        <v>220</v>
      </c>
      <c r="D29" s="30">
        <v>-8.9</v>
      </c>
      <c r="E29" s="30">
        <v>98</v>
      </c>
      <c r="F29" s="30">
        <v>60</v>
      </c>
    </row>
    <row r="30" spans="1:6" x14ac:dyDescent="0.25">
      <c r="A30" s="30">
        <v>27</v>
      </c>
      <c r="B30" s="30" t="s">
        <v>38</v>
      </c>
      <c r="C30" s="30">
        <v>184</v>
      </c>
      <c r="D30" s="30">
        <v>-14.9</v>
      </c>
      <c r="E30" s="30">
        <v>112</v>
      </c>
      <c r="F30" s="30">
        <v>87</v>
      </c>
    </row>
    <row r="31" spans="1:6" x14ac:dyDescent="0.25">
      <c r="A31" s="30">
        <v>24</v>
      </c>
      <c r="B31" s="30" t="s">
        <v>39</v>
      </c>
      <c r="C31" s="30">
        <v>180</v>
      </c>
      <c r="D31" s="30">
        <v>-14.6</v>
      </c>
      <c r="E31" s="30">
        <v>81</v>
      </c>
      <c r="F31" s="30">
        <v>86</v>
      </c>
    </row>
    <row r="32" spans="1:6" x14ac:dyDescent="0.25">
      <c r="A32" s="30">
        <v>58</v>
      </c>
      <c r="B32" s="30" t="s">
        <v>40</v>
      </c>
      <c r="C32" s="30">
        <v>235</v>
      </c>
      <c r="D32" s="30">
        <v>-4.3</v>
      </c>
      <c r="E32" s="30">
        <v>129</v>
      </c>
      <c r="F32" s="30">
        <v>88</v>
      </c>
    </row>
    <row r="33" spans="1:6" x14ac:dyDescent="0.25">
      <c r="A33" s="30">
        <v>61</v>
      </c>
      <c r="B33" s="30" t="s">
        <v>41</v>
      </c>
      <c r="C33" s="30">
        <v>240</v>
      </c>
      <c r="D33" s="30">
        <v>-20.8</v>
      </c>
      <c r="E33" s="30">
        <v>108</v>
      </c>
      <c r="F33" s="30">
        <v>68</v>
      </c>
    </row>
    <row r="34" spans="1:6" x14ac:dyDescent="0.25">
      <c r="A34" s="30">
        <v>69</v>
      </c>
      <c r="B34" s="30" t="s">
        <v>42</v>
      </c>
      <c r="C34" s="30">
        <v>264</v>
      </c>
      <c r="D34" s="30">
        <v>-11.2</v>
      </c>
      <c r="E34" s="30">
        <v>92</v>
      </c>
      <c r="F34" s="30">
        <v>107</v>
      </c>
    </row>
    <row r="35" spans="1:6" x14ac:dyDescent="0.25">
      <c r="A35" s="30">
        <v>68</v>
      </c>
      <c r="B35" s="30" t="s">
        <v>43</v>
      </c>
      <c r="C35" s="30">
        <v>260</v>
      </c>
      <c r="D35" s="30">
        <v>19.3</v>
      </c>
      <c r="E35" s="30">
        <v>138</v>
      </c>
      <c r="F35" s="30">
        <v>66</v>
      </c>
    </row>
    <row r="36" spans="1:6" x14ac:dyDescent="0.25">
      <c r="A36" s="30">
        <v>20</v>
      </c>
      <c r="B36" s="30" t="s">
        <v>44</v>
      </c>
      <c r="C36" s="30">
        <v>157</v>
      </c>
      <c r="D36" s="30">
        <v>-11.7</v>
      </c>
      <c r="E36" s="30">
        <v>102</v>
      </c>
      <c r="F36" s="30">
        <v>82</v>
      </c>
    </row>
    <row r="37" spans="1:6" x14ac:dyDescent="0.25">
      <c r="A37" s="30">
        <v>67</v>
      </c>
      <c r="B37" s="30" t="s">
        <v>45</v>
      </c>
      <c r="C37" s="30">
        <v>259</v>
      </c>
      <c r="D37" s="30">
        <v>-5.9</v>
      </c>
      <c r="E37" s="30">
        <v>184</v>
      </c>
      <c r="F37" s="30">
        <v>120</v>
      </c>
    </row>
    <row r="38" spans="1:6" x14ac:dyDescent="0.25">
      <c r="A38" s="30">
        <v>7</v>
      </c>
      <c r="B38" s="30" t="s">
        <v>46</v>
      </c>
      <c r="C38" s="30">
        <v>121</v>
      </c>
      <c r="D38" s="30">
        <v>26.1</v>
      </c>
      <c r="E38" s="30">
        <v>58</v>
      </c>
      <c r="F38" s="30">
        <v>163</v>
      </c>
    </row>
    <row r="39" spans="1:6" x14ac:dyDescent="0.25">
      <c r="A39" s="30">
        <v>10</v>
      </c>
      <c r="B39" s="30" t="s">
        <v>47</v>
      </c>
      <c r="C39" s="30">
        <v>133</v>
      </c>
      <c r="D39" s="30">
        <v>-8.4</v>
      </c>
      <c r="E39" s="30">
        <v>54</v>
      </c>
      <c r="F39" s="30">
        <v>136</v>
      </c>
    </row>
    <row r="40" spans="1:6" x14ac:dyDescent="0.25">
      <c r="A40" s="30">
        <v>38</v>
      </c>
      <c r="B40" s="30" t="s">
        <v>48</v>
      </c>
      <c r="C40" s="30">
        <v>208</v>
      </c>
      <c r="D40" s="30">
        <v>-10.9</v>
      </c>
      <c r="E40" s="30">
        <v>108</v>
      </c>
      <c r="F40" s="30">
        <v>72</v>
      </c>
    </row>
    <row r="41" spans="1:6" x14ac:dyDescent="0.25">
      <c r="A41" s="30">
        <v>22</v>
      </c>
      <c r="B41" s="30" t="s">
        <v>49</v>
      </c>
      <c r="C41" s="30">
        <v>166</v>
      </c>
      <c r="D41" s="30">
        <v>-4.5999999999999996</v>
      </c>
      <c r="E41" s="30">
        <v>94</v>
      </c>
      <c r="F41" s="30">
        <v>88</v>
      </c>
    </row>
    <row r="42" spans="1:6" x14ac:dyDescent="0.25">
      <c r="A42" s="30">
        <v>84</v>
      </c>
      <c r="B42" s="30" t="s">
        <v>50</v>
      </c>
      <c r="C42" s="30">
        <v>323</v>
      </c>
      <c r="D42" s="30">
        <v>3.6</v>
      </c>
      <c r="E42" s="30">
        <v>154</v>
      </c>
      <c r="F42" s="30">
        <v>109</v>
      </c>
    </row>
    <row r="43" spans="1:6" x14ac:dyDescent="0.25">
      <c r="A43" s="30">
        <v>12</v>
      </c>
      <c r="B43" s="30" t="s">
        <v>51</v>
      </c>
      <c r="C43" s="30">
        <v>141</v>
      </c>
      <c r="D43" s="30">
        <v>-4.5</v>
      </c>
      <c r="E43" s="30">
        <v>98</v>
      </c>
      <c r="F43" s="30">
        <v>112</v>
      </c>
    </row>
    <row r="44" spans="1:6" x14ac:dyDescent="0.25">
      <c r="A44" s="30">
        <v>43</v>
      </c>
      <c r="B44" s="30" t="s">
        <v>52</v>
      </c>
      <c r="C44" s="30">
        <v>213</v>
      </c>
      <c r="D44" s="30">
        <v>-1.1000000000000001</v>
      </c>
      <c r="E44" s="30">
        <v>147</v>
      </c>
      <c r="F44" s="30">
        <v>120</v>
      </c>
    </row>
    <row r="45" spans="1:6" x14ac:dyDescent="0.25">
      <c r="A45" s="30">
        <v>35</v>
      </c>
      <c r="B45" s="30" t="s">
        <v>53</v>
      </c>
      <c r="C45" s="30">
        <v>203</v>
      </c>
      <c r="D45" s="30">
        <v>-9.4</v>
      </c>
      <c r="E45" s="30">
        <v>142</v>
      </c>
      <c r="F45" s="30">
        <v>66</v>
      </c>
    </row>
    <row r="46" spans="1:6" x14ac:dyDescent="0.25">
      <c r="A46" s="30">
        <v>21</v>
      </c>
      <c r="B46" s="30" t="s">
        <v>54</v>
      </c>
      <c r="C46" s="30">
        <v>159</v>
      </c>
      <c r="D46" s="30">
        <v>-18.899999999999999</v>
      </c>
      <c r="E46" s="30">
        <v>95</v>
      </c>
      <c r="F46" s="30">
        <v>69</v>
      </c>
    </row>
    <row r="47" spans="1:6" x14ac:dyDescent="0.25">
      <c r="A47" s="30">
        <v>64</v>
      </c>
      <c r="B47" s="30" t="s">
        <v>55</v>
      </c>
      <c r="C47" s="30">
        <v>251</v>
      </c>
      <c r="D47" s="30">
        <v>-10.6</v>
      </c>
      <c r="E47" s="30">
        <v>135</v>
      </c>
      <c r="F47" s="30">
        <v>80</v>
      </c>
    </row>
    <row r="48" spans="1:6" x14ac:dyDescent="0.25">
      <c r="A48" s="30">
        <v>26</v>
      </c>
      <c r="B48" s="30" t="s">
        <v>56</v>
      </c>
      <c r="C48" s="30">
        <v>181</v>
      </c>
      <c r="D48" s="30">
        <v>4.3</v>
      </c>
      <c r="E48" s="30">
        <v>113</v>
      </c>
      <c r="F48" s="30">
        <v>96</v>
      </c>
    </row>
    <row r="49" spans="1:6" x14ac:dyDescent="0.25">
      <c r="A49" s="30">
        <v>11</v>
      </c>
      <c r="B49" s="30" t="s">
        <v>57</v>
      </c>
      <c r="C49" s="30">
        <v>139</v>
      </c>
      <c r="D49" s="30">
        <v>-15</v>
      </c>
      <c r="E49" s="30">
        <v>93</v>
      </c>
      <c r="F49" s="30">
        <v>95</v>
      </c>
    </row>
    <row r="50" spans="1:6" x14ac:dyDescent="0.25">
      <c r="A50" s="30">
        <v>82</v>
      </c>
      <c r="B50" s="30" t="s">
        <v>58</v>
      </c>
      <c r="C50" s="30">
        <v>305</v>
      </c>
      <c r="D50" s="30">
        <v>-8</v>
      </c>
      <c r="E50" s="30">
        <v>133</v>
      </c>
      <c r="F50" s="30">
        <v>56</v>
      </c>
    </row>
    <row r="51" spans="1:6" x14ac:dyDescent="0.25">
      <c r="A51" s="30">
        <v>17</v>
      </c>
      <c r="B51" s="30" t="s">
        <v>59</v>
      </c>
      <c r="C51" s="30">
        <v>151</v>
      </c>
      <c r="D51" s="30">
        <v>9.3000000000000007</v>
      </c>
      <c r="E51" s="30">
        <v>78</v>
      </c>
      <c r="F51" s="30">
        <v>88</v>
      </c>
    </row>
    <row r="52" spans="1:6" x14ac:dyDescent="0.25">
      <c r="A52" s="30">
        <v>79</v>
      </c>
      <c r="B52" s="30" t="s">
        <v>60</v>
      </c>
      <c r="C52" s="30">
        <v>296</v>
      </c>
      <c r="D52" s="30">
        <v>1.8</v>
      </c>
      <c r="E52" s="30">
        <v>171</v>
      </c>
      <c r="F52" s="30">
        <v>56</v>
      </c>
    </row>
    <row r="53" spans="1:6" x14ac:dyDescent="0.25">
      <c r="A53" s="30">
        <v>66</v>
      </c>
      <c r="B53" s="30" t="s">
        <v>61</v>
      </c>
      <c r="C53" s="30">
        <v>257</v>
      </c>
      <c r="D53" s="30">
        <v>-13.4</v>
      </c>
      <c r="E53" s="30">
        <v>148</v>
      </c>
      <c r="F53" s="30">
        <v>61</v>
      </c>
    </row>
    <row r="54" spans="1:6" x14ac:dyDescent="0.25">
      <c r="A54" s="30">
        <v>23</v>
      </c>
      <c r="B54" s="30" t="s">
        <v>62</v>
      </c>
      <c r="C54" s="30">
        <v>176</v>
      </c>
      <c r="D54" s="30">
        <v>17.399999999999999</v>
      </c>
      <c r="E54" s="30">
        <v>66</v>
      </c>
      <c r="F54" s="30">
        <v>138</v>
      </c>
    </row>
    <row r="55" spans="1:6" x14ac:dyDescent="0.25">
      <c r="A55" s="30">
        <v>48</v>
      </c>
      <c r="B55" s="30" t="s">
        <v>63</v>
      </c>
      <c r="C55" s="30">
        <v>217</v>
      </c>
      <c r="D55" s="30">
        <v>8.6</v>
      </c>
      <c r="E55" s="30">
        <v>108</v>
      </c>
      <c r="F55" s="30">
        <v>62</v>
      </c>
    </row>
    <row r="56" spans="1:6" x14ac:dyDescent="0.25">
      <c r="A56" s="30">
        <v>5</v>
      </c>
      <c r="B56" s="30" t="s">
        <v>64</v>
      </c>
      <c r="C56" s="30">
        <v>112</v>
      </c>
      <c r="D56" s="30">
        <v>-11</v>
      </c>
      <c r="E56" s="30">
        <v>62</v>
      </c>
      <c r="F56" s="30">
        <v>111</v>
      </c>
    </row>
    <row r="57" spans="1:6" x14ac:dyDescent="0.25">
      <c r="A57" s="30">
        <v>9</v>
      </c>
      <c r="B57" s="30" t="s">
        <v>65</v>
      </c>
      <c r="C57" s="30">
        <v>127</v>
      </c>
      <c r="D57" s="30">
        <v>-12</v>
      </c>
      <c r="E57" s="30">
        <v>52</v>
      </c>
      <c r="F57" s="30">
        <v>39</v>
      </c>
    </row>
    <row r="58" spans="1:6" x14ac:dyDescent="0.25">
      <c r="A58" s="30">
        <v>42</v>
      </c>
      <c r="B58" s="30" t="s">
        <v>66</v>
      </c>
      <c r="C58" s="30">
        <v>211</v>
      </c>
      <c r="D58" s="30">
        <v>-21.8</v>
      </c>
      <c r="E58" s="30">
        <v>151</v>
      </c>
      <c r="F58" s="30">
        <v>71</v>
      </c>
    </row>
    <row r="59" spans="1:6" x14ac:dyDescent="0.25">
      <c r="A59" s="30">
        <v>40</v>
      </c>
      <c r="B59" s="30" t="s">
        <v>68</v>
      </c>
      <c r="C59" s="30">
        <v>209</v>
      </c>
      <c r="D59" s="30">
        <v>-9.1</v>
      </c>
      <c r="E59" s="30">
        <v>124</v>
      </c>
      <c r="F59" s="30">
        <v>88</v>
      </c>
    </row>
    <row r="60" spans="1:6" x14ac:dyDescent="0.25">
      <c r="A60" s="30">
        <v>75</v>
      </c>
      <c r="B60" s="30" t="s">
        <v>69</v>
      </c>
      <c r="C60" s="30">
        <v>283</v>
      </c>
      <c r="D60" s="30">
        <v>-2.9</v>
      </c>
      <c r="E60" s="30">
        <v>155</v>
      </c>
      <c r="F60" s="30">
        <v>95</v>
      </c>
    </row>
    <row r="61" spans="1:6" x14ac:dyDescent="0.25">
      <c r="A61" s="30">
        <v>72</v>
      </c>
      <c r="B61" s="30" t="s">
        <v>70</v>
      </c>
      <c r="C61" s="30">
        <v>268</v>
      </c>
      <c r="D61" s="30">
        <v>-5.3</v>
      </c>
      <c r="E61" s="30">
        <v>131</v>
      </c>
      <c r="F61" s="30">
        <v>75</v>
      </c>
    </row>
    <row r="62" spans="1:6" x14ac:dyDescent="0.25">
      <c r="A62" s="30">
        <v>37</v>
      </c>
      <c r="B62" s="30" t="s">
        <v>71</v>
      </c>
      <c r="C62" s="30">
        <v>208</v>
      </c>
      <c r="D62" s="30">
        <v>-5.5</v>
      </c>
      <c r="E62" s="30">
        <v>120</v>
      </c>
      <c r="F62" s="30">
        <v>94</v>
      </c>
    </row>
    <row r="63" spans="1:6" x14ac:dyDescent="0.25">
      <c r="A63" s="30">
        <v>59</v>
      </c>
      <c r="B63" s="30" t="s">
        <v>72</v>
      </c>
      <c r="C63" s="30">
        <v>236</v>
      </c>
      <c r="D63" s="30">
        <v>-4.5</v>
      </c>
      <c r="E63" s="30">
        <v>112</v>
      </c>
      <c r="F63" s="30">
        <v>72</v>
      </c>
    </row>
    <row r="64" spans="1:6" x14ac:dyDescent="0.25">
      <c r="A64" s="30">
        <v>55</v>
      </c>
      <c r="B64" s="30" t="s">
        <v>73</v>
      </c>
      <c r="C64" s="30">
        <v>229</v>
      </c>
      <c r="D64" s="30">
        <v>-11.3</v>
      </c>
      <c r="E64" s="30">
        <v>115</v>
      </c>
      <c r="F64" s="30">
        <v>86</v>
      </c>
    </row>
    <row r="65" spans="1:6" x14ac:dyDescent="0.25">
      <c r="A65" s="30">
        <v>54</v>
      </c>
      <c r="B65" s="30" t="s">
        <v>74</v>
      </c>
      <c r="C65" s="30">
        <v>225</v>
      </c>
      <c r="D65" s="30">
        <v>-2</v>
      </c>
      <c r="E65" s="30">
        <v>109</v>
      </c>
      <c r="F65" s="30">
        <v>44</v>
      </c>
    </row>
    <row r="66" spans="1:6" x14ac:dyDescent="0.25">
      <c r="A66" s="30">
        <v>73</v>
      </c>
      <c r="B66" s="30" t="s">
        <v>75</v>
      </c>
      <c r="C66" s="30">
        <v>280</v>
      </c>
      <c r="D66" s="30">
        <v>-4.9000000000000004</v>
      </c>
      <c r="E66" s="30">
        <v>130</v>
      </c>
      <c r="F66" s="30">
        <v>54</v>
      </c>
    </row>
    <row r="67" spans="1:6" x14ac:dyDescent="0.25">
      <c r="A67" s="30">
        <v>29</v>
      </c>
      <c r="B67" s="30" t="s">
        <v>76</v>
      </c>
      <c r="C67" s="30">
        <v>191</v>
      </c>
      <c r="D67" s="30">
        <v>-4.5999999999999996</v>
      </c>
      <c r="E67" s="30">
        <v>102</v>
      </c>
      <c r="F67" s="30">
        <v>85</v>
      </c>
    </row>
    <row r="68" spans="1:6" x14ac:dyDescent="0.25">
      <c r="A68" s="30">
        <v>76</v>
      </c>
      <c r="B68" s="30" t="s">
        <v>77</v>
      </c>
      <c r="C68" s="30">
        <v>284</v>
      </c>
      <c r="D68" s="30">
        <v>-15.7</v>
      </c>
      <c r="E68" s="30">
        <v>119</v>
      </c>
      <c r="F68" s="30">
        <v>110</v>
      </c>
    </row>
    <row r="69" spans="1:6" x14ac:dyDescent="0.25">
      <c r="A69" s="30">
        <v>25</v>
      </c>
      <c r="B69" s="30" t="s">
        <v>78</v>
      </c>
      <c r="C69" s="30">
        <v>180</v>
      </c>
      <c r="D69" s="30">
        <v>10.3</v>
      </c>
      <c r="E69" s="30">
        <v>157</v>
      </c>
      <c r="F69" s="30">
        <v>71</v>
      </c>
    </row>
    <row r="70" spans="1:6" x14ac:dyDescent="0.25">
      <c r="A70" s="30">
        <v>60</v>
      </c>
      <c r="B70" s="30" t="s">
        <v>79</v>
      </c>
      <c r="C70" s="30">
        <v>238</v>
      </c>
      <c r="D70" s="30">
        <v>-9.4</v>
      </c>
      <c r="E70" s="30">
        <v>124</v>
      </c>
      <c r="F70" s="30">
        <v>91</v>
      </c>
    </row>
    <row r="71" spans="1:6" x14ac:dyDescent="0.25">
      <c r="A71" s="30">
        <v>18</v>
      </c>
      <c r="B71" s="30" t="s">
        <v>80</v>
      </c>
      <c r="C71" s="30">
        <v>154</v>
      </c>
      <c r="D71" s="30">
        <v>-12.1</v>
      </c>
      <c r="E71" s="30">
        <v>90</v>
      </c>
      <c r="F71" s="30">
        <v>73</v>
      </c>
    </row>
    <row r="72" spans="1:6" x14ac:dyDescent="0.25">
      <c r="A72" s="30">
        <v>16</v>
      </c>
      <c r="B72" s="30" t="s">
        <v>81</v>
      </c>
      <c r="C72" s="30">
        <v>149</v>
      </c>
      <c r="D72" s="30">
        <v>0</v>
      </c>
      <c r="E72" s="30">
        <v>76</v>
      </c>
      <c r="F72" s="30">
        <v>146</v>
      </c>
    </row>
    <row r="73" spans="1:6" x14ac:dyDescent="0.25">
      <c r="A73" s="30">
        <v>70</v>
      </c>
      <c r="B73" s="30" t="s">
        <v>82</v>
      </c>
      <c r="C73" s="30">
        <v>265</v>
      </c>
      <c r="D73" s="30">
        <v>-12.8</v>
      </c>
      <c r="E73" s="30">
        <v>119</v>
      </c>
      <c r="F73" s="30">
        <v>75</v>
      </c>
    </row>
    <row r="74" spans="1:6" x14ac:dyDescent="0.25">
      <c r="A74" s="30">
        <v>44</v>
      </c>
      <c r="B74" s="30" t="s">
        <v>83</v>
      </c>
      <c r="C74" s="30">
        <v>215</v>
      </c>
      <c r="D74" s="30">
        <v>-0.6</v>
      </c>
      <c r="E74" s="30">
        <v>111</v>
      </c>
      <c r="F74" s="30">
        <v>47</v>
      </c>
    </row>
    <row r="75" spans="1:6" x14ac:dyDescent="0.25">
      <c r="A75" s="30">
        <v>56</v>
      </c>
      <c r="B75" s="30" t="s">
        <v>85</v>
      </c>
      <c r="C75" s="30">
        <v>232</v>
      </c>
      <c r="D75" s="30">
        <v>-6.6</v>
      </c>
      <c r="E75" s="30">
        <v>120</v>
      </c>
      <c r="F75" s="30">
        <v>110</v>
      </c>
    </row>
    <row r="76" spans="1:6" x14ac:dyDescent="0.25">
      <c r="A76" s="30">
        <v>81</v>
      </c>
      <c r="B76" s="30" t="s">
        <v>86</v>
      </c>
      <c r="C76" s="30">
        <v>298</v>
      </c>
      <c r="D76" s="30">
        <v>-7.5</v>
      </c>
      <c r="E76" s="30">
        <v>130</v>
      </c>
      <c r="F76" s="30">
        <v>87</v>
      </c>
    </row>
    <row r="77" spans="1:6" x14ac:dyDescent="0.25">
      <c r="A77" s="30">
        <v>46</v>
      </c>
      <c r="B77" s="30" t="s">
        <v>88</v>
      </c>
      <c r="C77" s="30">
        <v>216</v>
      </c>
      <c r="D77" s="30">
        <v>-3.9</v>
      </c>
      <c r="E77" s="30">
        <v>129</v>
      </c>
      <c r="F77" s="30">
        <v>96</v>
      </c>
    </row>
    <row r="78" spans="1:6" x14ac:dyDescent="0.25">
      <c r="A78" s="30">
        <v>31</v>
      </c>
      <c r="B78" s="30" t="s">
        <v>89</v>
      </c>
      <c r="C78" s="30">
        <v>201</v>
      </c>
      <c r="D78" s="30">
        <v>-11</v>
      </c>
      <c r="E78" s="30">
        <v>112</v>
      </c>
      <c r="F78" s="30">
        <v>65</v>
      </c>
    </row>
    <row r="79" spans="1:6" x14ac:dyDescent="0.25">
      <c r="A79" s="30">
        <v>14</v>
      </c>
      <c r="B79" s="30" t="s">
        <v>90</v>
      </c>
      <c r="C79" s="30">
        <v>145</v>
      </c>
      <c r="D79" s="30">
        <v>-5.2</v>
      </c>
      <c r="E79" s="30">
        <v>104</v>
      </c>
      <c r="F79" s="30">
        <v>88</v>
      </c>
    </row>
    <row r="80" spans="1:6" x14ac:dyDescent="0.25">
      <c r="A80" s="30">
        <v>83</v>
      </c>
      <c r="B80" s="30" t="s">
        <v>91</v>
      </c>
      <c r="C80" s="30">
        <v>315</v>
      </c>
      <c r="D80" s="30">
        <v>-7.9</v>
      </c>
      <c r="E80" s="30">
        <v>161</v>
      </c>
      <c r="F80" s="30">
        <v>72</v>
      </c>
    </row>
    <row r="81" spans="1:6" x14ac:dyDescent="0.25">
      <c r="A81" s="30">
        <v>47</v>
      </c>
      <c r="B81" s="30" t="s">
        <v>92</v>
      </c>
      <c r="C81" s="30">
        <v>216</v>
      </c>
      <c r="D81" s="30">
        <v>-20.399999999999999</v>
      </c>
      <c r="E81" s="30">
        <v>73</v>
      </c>
      <c r="F81" s="30">
        <v>121</v>
      </c>
    </row>
    <row r="82" spans="1:6" x14ac:dyDescent="0.25">
      <c r="A82" s="30">
        <v>13</v>
      </c>
      <c r="B82" s="30" t="s">
        <v>93</v>
      </c>
      <c r="C82" s="30">
        <v>144</v>
      </c>
      <c r="D82" s="30">
        <v>-11.3</v>
      </c>
      <c r="E82" s="30">
        <v>73</v>
      </c>
      <c r="F82" s="30">
        <v>84</v>
      </c>
    </row>
    <row r="83" spans="1:6" x14ac:dyDescent="0.25">
      <c r="A83" s="30">
        <v>52</v>
      </c>
      <c r="B83" s="30" t="s">
        <v>94</v>
      </c>
      <c r="C83" s="30">
        <v>222</v>
      </c>
      <c r="D83" s="30">
        <v>-16.899999999999999</v>
      </c>
      <c r="E83" s="30">
        <v>108</v>
      </c>
      <c r="F83" s="30">
        <v>58</v>
      </c>
    </row>
    <row r="84" spans="1:6" x14ac:dyDescent="0.25">
      <c r="A84" s="30">
        <v>50</v>
      </c>
      <c r="B84" s="30" t="s">
        <v>95</v>
      </c>
      <c r="C84" s="30">
        <v>222</v>
      </c>
      <c r="D84" s="30">
        <v>-14.5</v>
      </c>
      <c r="E84" s="30">
        <v>114</v>
      </c>
      <c r="F84" s="30">
        <v>54</v>
      </c>
    </row>
    <row r="85" spans="1:6" x14ac:dyDescent="0.25">
      <c r="A85" s="30">
        <v>78</v>
      </c>
      <c r="B85" s="30" t="s">
        <v>96</v>
      </c>
      <c r="C85" s="30">
        <v>295</v>
      </c>
      <c r="D85" s="30">
        <v>-10.3</v>
      </c>
      <c r="E85" s="30">
        <v>145</v>
      </c>
      <c r="F85" s="30">
        <v>71</v>
      </c>
    </row>
    <row r="86" spans="1:6" x14ac:dyDescent="0.25">
      <c r="A86" s="30">
        <v>36</v>
      </c>
      <c r="B86" s="30" t="s">
        <v>97</v>
      </c>
      <c r="C86" s="30">
        <v>207</v>
      </c>
      <c r="D86" s="30">
        <v>-7</v>
      </c>
      <c r="E86" s="30">
        <v>111</v>
      </c>
      <c r="F86" s="30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topLeftCell="A8" workbookViewId="0">
      <selection activeCell="D1" sqref="D1:D86"/>
    </sheetView>
  </sheetViews>
  <sheetFormatPr defaultRowHeight="15" x14ac:dyDescent="0.25"/>
  <cols>
    <col min="1" max="1" width="27.85546875" customWidth="1"/>
    <col min="2" max="2" width="29" customWidth="1"/>
    <col min="3" max="3" width="25.42578125" customWidth="1"/>
    <col min="4" max="4" width="21.42578125" customWidth="1"/>
    <col min="5" max="5" width="31.85546875" customWidth="1"/>
  </cols>
  <sheetData>
    <row r="1" spans="1:4" ht="75" x14ac:dyDescent="0.25">
      <c r="A1" s="42" t="s">
        <v>1</v>
      </c>
      <c r="B1" s="41" t="s">
        <v>135</v>
      </c>
      <c r="C1" s="41" t="s">
        <v>136</v>
      </c>
      <c r="D1" s="40" t="s">
        <v>148</v>
      </c>
    </row>
    <row r="2" spans="1:4" x14ac:dyDescent="0.25">
      <c r="A2" s="30" t="s">
        <v>7</v>
      </c>
      <c r="B2" s="30">
        <v>120.3</v>
      </c>
      <c r="C2" s="30">
        <v>-19.399999999999999</v>
      </c>
      <c r="D2" s="30">
        <f>B2*(1+C2:C2/100)</f>
        <v>96.961799999999997</v>
      </c>
    </row>
    <row r="3" spans="1:4" x14ac:dyDescent="0.25">
      <c r="A3" s="30" t="s">
        <v>8</v>
      </c>
      <c r="B3" s="30">
        <v>44.2</v>
      </c>
      <c r="C3" s="30">
        <v>4.5999999999999996</v>
      </c>
      <c r="D3" s="30">
        <f t="shared" ref="D3:D66" si="0">B3*(1+C3:C3/100)</f>
        <v>46.233200000000004</v>
      </c>
    </row>
    <row r="4" spans="1:4" x14ac:dyDescent="0.25">
      <c r="A4" s="30" t="s">
        <v>9</v>
      </c>
      <c r="B4" s="30">
        <v>74.3</v>
      </c>
      <c r="C4" s="30">
        <v>28.6</v>
      </c>
      <c r="D4" s="30">
        <f t="shared" si="0"/>
        <v>95.549800000000005</v>
      </c>
    </row>
    <row r="5" spans="1:4" x14ac:dyDescent="0.25">
      <c r="A5" s="30" t="s">
        <v>10</v>
      </c>
      <c r="B5" s="30">
        <v>127.7</v>
      </c>
      <c r="C5" s="30">
        <v>-7.4</v>
      </c>
      <c r="D5" s="30">
        <f t="shared" si="0"/>
        <v>118.25019999999999</v>
      </c>
    </row>
    <row r="6" spans="1:4" x14ac:dyDescent="0.25">
      <c r="A6" s="30" t="s">
        <v>11</v>
      </c>
      <c r="B6" s="30">
        <v>15.6</v>
      </c>
      <c r="C6" s="30">
        <v>-42.2</v>
      </c>
      <c r="D6" s="30">
        <f t="shared" si="0"/>
        <v>9.0167999999999999</v>
      </c>
    </row>
    <row r="7" spans="1:4" x14ac:dyDescent="0.25">
      <c r="A7" s="30" t="s">
        <v>12</v>
      </c>
      <c r="B7" s="30">
        <v>99.6</v>
      </c>
      <c r="C7" s="30">
        <v>-4.7</v>
      </c>
      <c r="D7" s="30">
        <f t="shared" si="0"/>
        <v>94.91879999999999</v>
      </c>
    </row>
    <row r="8" spans="1:4" x14ac:dyDescent="0.25">
      <c r="A8" s="30" t="s">
        <v>16</v>
      </c>
      <c r="B8" s="30">
        <v>64.400000000000006</v>
      </c>
      <c r="C8" s="30">
        <v>-5.3</v>
      </c>
      <c r="D8" s="30">
        <f t="shared" si="0"/>
        <v>60.986800000000002</v>
      </c>
    </row>
    <row r="9" spans="1:4" x14ac:dyDescent="0.25">
      <c r="A9" s="30" t="s">
        <v>17</v>
      </c>
      <c r="B9" s="30">
        <v>114.9</v>
      </c>
      <c r="C9" s="30">
        <v>-12.5</v>
      </c>
      <c r="D9" s="30">
        <f t="shared" si="0"/>
        <v>100.53750000000001</v>
      </c>
    </row>
    <row r="10" spans="1:4" x14ac:dyDescent="0.25">
      <c r="A10" s="30" t="s">
        <v>18</v>
      </c>
      <c r="B10" s="30">
        <v>94</v>
      </c>
      <c r="C10" s="30">
        <v>-15.2</v>
      </c>
      <c r="D10" s="30">
        <f t="shared" si="0"/>
        <v>79.712000000000003</v>
      </c>
    </row>
    <row r="11" spans="1:4" x14ac:dyDescent="0.25">
      <c r="A11" s="30" t="s">
        <v>19</v>
      </c>
      <c r="B11" s="30">
        <v>101.4</v>
      </c>
      <c r="C11" s="30">
        <v>-16.600000000000001</v>
      </c>
      <c r="D11" s="30">
        <f t="shared" si="0"/>
        <v>84.567599999999999</v>
      </c>
    </row>
    <row r="12" spans="1:4" x14ac:dyDescent="0.25">
      <c r="A12" s="30" t="s">
        <v>20</v>
      </c>
      <c r="B12" s="30">
        <v>152.30000000000001</v>
      </c>
      <c r="C12" s="30">
        <v>-11.3</v>
      </c>
      <c r="D12" s="30">
        <f t="shared" si="0"/>
        <v>135.09010000000001</v>
      </c>
    </row>
    <row r="13" spans="1:4" x14ac:dyDescent="0.25">
      <c r="A13" s="30" t="s">
        <v>21</v>
      </c>
      <c r="B13" s="30">
        <v>101.2</v>
      </c>
      <c r="C13" s="30">
        <v>-6.7</v>
      </c>
      <c r="D13" s="30">
        <f t="shared" si="0"/>
        <v>94.419600000000003</v>
      </c>
    </row>
    <row r="14" spans="1:4" x14ac:dyDescent="0.25">
      <c r="A14" s="30" t="s">
        <v>22</v>
      </c>
      <c r="B14" s="30">
        <v>46.5</v>
      </c>
      <c r="C14" s="30">
        <v>-7</v>
      </c>
      <c r="D14" s="30">
        <f t="shared" si="0"/>
        <v>43.244999999999997</v>
      </c>
    </row>
    <row r="15" spans="1:4" x14ac:dyDescent="0.25">
      <c r="A15" s="30" t="s">
        <v>23</v>
      </c>
      <c r="B15" s="30">
        <v>96.1</v>
      </c>
      <c r="C15" s="30">
        <v>-21.3</v>
      </c>
      <c r="D15" s="30">
        <f t="shared" si="0"/>
        <v>75.630700000000004</v>
      </c>
    </row>
    <row r="16" spans="1:4" x14ac:dyDescent="0.25">
      <c r="A16" s="30" t="s">
        <v>24</v>
      </c>
      <c r="B16" s="30">
        <v>103.1</v>
      </c>
      <c r="C16" s="30">
        <v>1.8</v>
      </c>
      <c r="D16" s="30">
        <f t="shared" si="0"/>
        <v>104.9558</v>
      </c>
    </row>
    <row r="17" spans="1:4" x14ac:dyDescent="0.25">
      <c r="A17" s="30" t="s">
        <v>25</v>
      </c>
      <c r="B17" s="30">
        <v>110.6</v>
      </c>
      <c r="C17" s="30">
        <v>-2.8</v>
      </c>
      <c r="D17" s="30">
        <f t="shared" si="0"/>
        <v>107.50319999999999</v>
      </c>
    </row>
    <row r="18" spans="1:4" x14ac:dyDescent="0.25">
      <c r="A18" s="30" t="s">
        <v>26</v>
      </c>
      <c r="B18" s="30">
        <v>120.1</v>
      </c>
      <c r="C18" s="30">
        <v>1.7</v>
      </c>
      <c r="D18" s="30">
        <f t="shared" si="0"/>
        <v>122.14169999999999</v>
      </c>
    </row>
    <row r="19" spans="1:4" x14ac:dyDescent="0.25">
      <c r="A19" s="30" t="s">
        <v>27</v>
      </c>
      <c r="B19" s="30">
        <v>151.9</v>
      </c>
      <c r="C19" s="30">
        <v>-2</v>
      </c>
      <c r="D19" s="30">
        <f t="shared" si="0"/>
        <v>148.86199999999999</v>
      </c>
    </row>
    <row r="20" spans="1:4" x14ac:dyDescent="0.25">
      <c r="A20" s="30" t="s">
        <v>28</v>
      </c>
      <c r="B20" s="30">
        <v>51.8</v>
      </c>
      <c r="C20" s="30">
        <v>-12.9</v>
      </c>
      <c r="D20" s="30">
        <f t="shared" si="0"/>
        <v>45.117799999999995</v>
      </c>
    </row>
    <row r="21" spans="1:4" x14ac:dyDescent="0.25">
      <c r="A21" s="30" t="s">
        <v>29</v>
      </c>
      <c r="B21" s="30">
        <v>79.400000000000006</v>
      </c>
      <c r="C21" s="30">
        <v>-17.3</v>
      </c>
      <c r="D21" s="30">
        <f t="shared" si="0"/>
        <v>65.663799999999995</v>
      </c>
    </row>
    <row r="22" spans="1:4" x14ac:dyDescent="0.25">
      <c r="A22" s="30" t="s">
        <v>30</v>
      </c>
      <c r="B22" s="30">
        <v>108.6</v>
      </c>
      <c r="C22" s="30">
        <v>-10.1</v>
      </c>
      <c r="D22" s="30">
        <f t="shared" si="0"/>
        <v>97.631399999999999</v>
      </c>
    </row>
    <row r="23" spans="1:4" x14ac:dyDescent="0.25">
      <c r="A23" s="30" t="s">
        <v>31</v>
      </c>
      <c r="B23" s="30">
        <v>94.3</v>
      </c>
      <c r="C23" s="30">
        <v>-16.2</v>
      </c>
      <c r="D23" s="30">
        <f t="shared" si="0"/>
        <v>79.023399999999995</v>
      </c>
    </row>
    <row r="24" spans="1:4" x14ac:dyDescent="0.25">
      <c r="A24" s="30" t="s">
        <v>32</v>
      </c>
      <c r="B24" s="30">
        <v>96.2</v>
      </c>
      <c r="C24" s="30">
        <v>-8.5</v>
      </c>
      <c r="D24" s="30">
        <f t="shared" si="0"/>
        <v>88.02300000000001</v>
      </c>
    </row>
    <row r="25" spans="1:4" x14ac:dyDescent="0.25">
      <c r="A25" s="30" t="s">
        <v>33</v>
      </c>
      <c r="B25" s="30">
        <v>108</v>
      </c>
      <c r="C25" s="30">
        <v>-2.1</v>
      </c>
      <c r="D25" s="30">
        <f t="shared" si="0"/>
        <v>105.732</v>
      </c>
    </row>
    <row r="26" spans="1:4" x14ac:dyDescent="0.25">
      <c r="A26" s="30" t="s">
        <v>34</v>
      </c>
      <c r="B26" s="30">
        <v>58.1</v>
      </c>
      <c r="C26" s="30">
        <v>8.3000000000000007</v>
      </c>
      <c r="D26" s="30">
        <f t="shared" si="0"/>
        <v>62.9223</v>
      </c>
    </row>
    <row r="27" spans="1:4" x14ac:dyDescent="0.25">
      <c r="A27" s="30" t="s">
        <v>35</v>
      </c>
      <c r="B27" s="30">
        <v>81.8</v>
      </c>
      <c r="C27" s="30">
        <v>5.8</v>
      </c>
      <c r="D27" s="30">
        <f t="shared" si="0"/>
        <v>86.544399999999996</v>
      </c>
    </row>
    <row r="28" spans="1:4" x14ac:dyDescent="0.25">
      <c r="A28" s="30" t="s">
        <v>36</v>
      </c>
      <c r="B28" s="30">
        <v>240</v>
      </c>
      <c r="C28" s="30">
        <v>-11.6</v>
      </c>
      <c r="D28" s="30">
        <f t="shared" si="0"/>
        <v>212.16</v>
      </c>
    </row>
    <row r="29" spans="1:4" x14ac:dyDescent="0.25">
      <c r="A29" s="30" t="s">
        <v>37</v>
      </c>
      <c r="B29" s="30">
        <v>107.6</v>
      </c>
      <c r="C29" s="30">
        <v>-7.7</v>
      </c>
      <c r="D29" s="30">
        <f t="shared" si="0"/>
        <v>99.314800000000005</v>
      </c>
    </row>
    <row r="30" spans="1:4" x14ac:dyDescent="0.25">
      <c r="A30" s="30" t="s">
        <v>38</v>
      </c>
      <c r="B30" s="30">
        <v>105.4</v>
      </c>
      <c r="C30" s="30">
        <v>-7</v>
      </c>
      <c r="D30" s="30">
        <f t="shared" si="0"/>
        <v>98.022000000000006</v>
      </c>
    </row>
    <row r="31" spans="1:4" x14ac:dyDescent="0.25">
      <c r="A31" s="30" t="s">
        <v>39</v>
      </c>
      <c r="B31" s="30">
        <v>108.8</v>
      </c>
      <c r="C31" s="30">
        <v>9.6</v>
      </c>
      <c r="D31" s="30">
        <f t="shared" si="0"/>
        <v>119.24480000000001</v>
      </c>
    </row>
    <row r="32" spans="1:4" x14ac:dyDescent="0.25">
      <c r="A32" s="30" t="s">
        <v>40</v>
      </c>
      <c r="B32" s="30">
        <v>105.1</v>
      </c>
      <c r="C32" s="30">
        <v>29.7</v>
      </c>
      <c r="D32" s="30">
        <f t="shared" si="0"/>
        <v>136.31469999999999</v>
      </c>
    </row>
    <row r="33" spans="1:4" x14ac:dyDescent="0.25">
      <c r="A33" s="30" t="s">
        <v>41</v>
      </c>
      <c r="B33" s="30">
        <v>114</v>
      </c>
      <c r="C33" s="30">
        <v>-15.1</v>
      </c>
      <c r="D33" s="30">
        <f t="shared" si="0"/>
        <v>96.786000000000001</v>
      </c>
    </row>
    <row r="34" spans="1:4" x14ac:dyDescent="0.25">
      <c r="A34" s="30" t="s">
        <v>42</v>
      </c>
      <c r="B34" s="30">
        <v>121.4</v>
      </c>
      <c r="C34" s="30">
        <v>-8.3000000000000007</v>
      </c>
      <c r="D34" s="30">
        <f t="shared" si="0"/>
        <v>111.32380000000001</v>
      </c>
    </row>
    <row r="35" spans="1:4" x14ac:dyDescent="0.25">
      <c r="A35" s="30" t="s">
        <v>43</v>
      </c>
      <c r="B35" s="30">
        <v>114.8</v>
      </c>
      <c r="C35" s="30">
        <v>-7.2</v>
      </c>
      <c r="D35" s="30">
        <f t="shared" si="0"/>
        <v>106.53439999999999</v>
      </c>
    </row>
    <row r="36" spans="1:4" x14ac:dyDescent="0.25">
      <c r="A36" s="30" t="s">
        <v>44</v>
      </c>
      <c r="B36" s="30">
        <v>76.599999999999994</v>
      </c>
      <c r="C36" s="30">
        <v>6.6</v>
      </c>
      <c r="D36" s="30">
        <f t="shared" si="0"/>
        <v>81.655599999999993</v>
      </c>
    </row>
    <row r="37" spans="1:4" x14ac:dyDescent="0.25">
      <c r="A37" s="30" t="s">
        <v>45</v>
      </c>
      <c r="B37" s="30">
        <v>134.69999999999999</v>
      </c>
      <c r="C37" s="30">
        <v>-6.9</v>
      </c>
      <c r="D37" s="30">
        <f t="shared" si="0"/>
        <v>125.4057</v>
      </c>
    </row>
    <row r="38" spans="1:4" x14ac:dyDescent="0.25">
      <c r="A38" s="30" t="s">
        <v>46</v>
      </c>
      <c r="B38" s="30">
        <v>81</v>
      </c>
      <c r="C38" s="30">
        <v>3.3</v>
      </c>
      <c r="D38" s="30">
        <f t="shared" si="0"/>
        <v>83.672999999999988</v>
      </c>
    </row>
    <row r="39" spans="1:4" x14ac:dyDescent="0.25">
      <c r="A39" s="30" t="s">
        <v>47</v>
      </c>
      <c r="B39" s="30">
        <v>78.3</v>
      </c>
      <c r="C39" s="30">
        <v>-1.2</v>
      </c>
      <c r="D39" s="30">
        <f t="shared" si="0"/>
        <v>77.360399999999998</v>
      </c>
    </row>
    <row r="40" spans="1:4" x14ac:dyDescent="0.25">
      <c r="A40" s="30" t="s">
        <v>48</v>
      </c>
      <c r="B40" s="30">
        <v>98</v>
      </c>
      <c r="C40" s="30">
        <v>-3.7</v>
      </c>
      <c r="D40" s="30">
        <f t="shared" si="0"/>
        <v>94.373999999999995</v>
      </c>
    </row>
    <row r="41" spans="1:4" x14ac:dyDescent="0.25">
      <c r="A41" s="30" t="s">
        <v>49</v>
      </c>
      <c r="B41" s="30">
        <v>79.7</v>
      </c>
      <c r="C41" s="30">
        <v>-11.3</v>
      </c>
      <c r="D41" s="30">
        <f t="shared" si="0"/>
        <v>70.693899999999999</v>
      </c>
    </row>
    <row r="42" spans="1:4" x14ac:dyDescent="0.25">
      <c r="A42" s="30" t="s">
        <v>50</v>
      </c>
      <c r="B42" s="30">
        <v>153.9</v>
      </c>
      <c r="C42" s="30">
        <v>17.5</v>
      </c>
      <c r="D42" s="30">
        <f t="shared" si="0"/>
        <v>180.83250000000001</v>
      </c>
    </row>
    <row r="43" spans="1:4" x14ac:dyDescent="0.25">
      <c r="A43" s="30" t="s">
        <v>51</v>
      </c>
      <c r="B43" s="30">
        <v>67.3</v>
      </c>
      <c r="C43" s="30">
        <v>0</v>
      </c>
      <c r="D43" s="30">
        <f t="shared" si="0"/>
        <v>67.3</v>
      </c>
    </row>
    <row r="44" spans="1:4" x14ac:dyDescent="0.25">
      <c r="A44" s="30" t="s">
        <v>52</v>
      </c>
      <c r="B44" s="30">
        <v>90.6</v>
      </c>
      <c r="C44" s="30">
        <v>-5.5</v>
      </c>
      <c r="D44" s="30">
        <f t="shared" si="0"/>
        <v>85.61699999999999</v>
      </c>
    </row>
    <row r="45" spans="1:4" x14ac:dyDescent="0.25">
      <c r="A45" s="30" t="s">
        <v>53</v>
      </c>
      <c r="B45" s="30">
        <v>98.8</v>
      </c>
      <c r="C45" s="30">
        <v>4</v>
      </c>
      <c r="D45" s="30">
        <f t="shared" si="0"/>
        <v>102.752</v>
      </c>
    </row>
    <row r="46" spans="1:4" x14ac:dyDescent="0.25">
      <c r="A46" s="30" t="s">
        <v>54</v>
      </c>
      <c r="B46" s="30">
        <v>68.8</v>
      </c>
      <c r="C46" s="30">
        <v>-10.7</v>
      </c>
      <c r="D46" s="30">
        <f t="shared" si="0"/>
        <v>61.438400000000001</v>
      </c>
    </row>
    <row r="47" spans="1:4" x14ac:dyDescent="0.25">
      <c r="A47" s="30" t="s">
        <v>55</v>
      </c>
      <c r="B47" s="30">
        <v>123.2</v>
      </c>
      <c r="C47" s="30">
        <v>-7.2</v>
      </c>
      <c r="D47" s="30">
        <f t="shared" si="0"/>
        <v>114.3296</v>
      </c>
    </row>
    <row r="48" spans="1:4" x14ac:dyDescent="0.25">
      <c r="A48" s="30" t="s">
        <v>56</v>
      </c>
      <c r="B48" s="30">
        <v>80.5</v>
      </c>
      <c r="C48" s="30">
        <v>-3.7</v>
      </c>
      <c r="D48" s="30">
        <f t="shared" si="0"/>
        <v>77.521500000000003</v>
      </c>
    </row>
    <row r="49" spans="1:4" x14ac:dyDescent="0.25">
      <c r="A49" s="30" t="s">
        <v>57</v>
      </c>
      <c r="B49" s="30">
        <v>55.5</v>
      </c>
      <c r="C49" s="30">
        <v>-17.3</v>
      </c>
      <c r="D49" s="30">
        <f t="shared" si="0"/>
        <v>45.898499999999999</v>
      </c>
    </row>
    <row r="50" spans="1:4" x14ac:dyDescent="0.25">
      <c r="A50" s="30" t="s">
        <v>58</v>
      </c>
      <c r="B50" s="30">
        <v>141.4</v>
      </c>
      <c r="C50" s="30">
        <v>-9.6999999999999993</v>
      </c>
      <c r="D50" s="30">
        <f t="shared" si="0"/>
        <v>127.6842</v>
      </c>
    </row>
    <row r="51" spans="1:4" x14ac:dyDescent="0.25">
      <c r="A51" s="30" t="s">
        <v>59</v>
      </c>
      <c r="B51" s="30">
        <v>75.099999999999994</v>
      </c>
      <c r="C51" s="30">
        <v>21.6</v>
      </c>
      <c r="D51" s="30">
        <f t="shared" si="0"/>
        <v>91.321599999999989</v>
      </c>
    </row>
    <row r="52" spans="1:4" x14ac:dyDescent="0.25">
      <c r="A52" s="30" t="s">
        <v>60</v>
      </c>
      <c r="B52" s="30">
        <v>111</v>
      </c>
      <c r="C52" s="30">
        <v>-21.5</v>
      </c>
      <c r="D52" s="30">
        <f t="shared" si="0"/>
        <v>87.135000000000005</v>
      </c>
    </row>
    <row r="53" spans="1:4" x14ac:dyDescent="0.25">
      <c r="A53" s="30" t="s">
        <v>61</v>
      </c>
      <c r="B53" s="30">
        <v>121.3</v>
      </c>
      <c r="C53" s="30">
        <v>-7.5</v>
      </c>
      <c r="D53" s="30">
        <f t="shared" si="0"/>
        <v>112.2025</v>
      </c>
    </row>
    <row r="54" spans="1:4" x14ac:dyDescent="0.25">
      <c r="A54" s="30" t="s">
        <v>62</v>
      </c>
      <c r="B54" s="30">
        <v>50.3</v>
      </c>
      <c r="C54" s="30">
        <v>-27.3</v>
      </c>
      <c r="D54" s="30">
        <f t="shared" si="0"/>
        <v>36.568099999999994</v>
      </c>
    </row>
    <row r="55" spans="1:4" x14ac:dyDescent="0.25">
      <c r="A55" s="30" t="s">
        <v>63</v>
      </c>
      <c r="B55" s="30">
        <v>90.3</v>
      </c>
      <c r="C55" s="30">
        <v>-15.8</v>
      </c>
      <c r="D55" s="30">
        <f t="shared" si="0"/>
        <v>76.032599999999988</v>
      </c>
    </row>
    <row r="56" spans="1:4" x14ac:dyDescent="0.25">
      <c r="A56" s="30" t="s">
        <v>64</v>
      </c>
      <c r="B56" s="30">
        <v>52.2</v>
      </c>
      <c r="C56" s="30">
        <v>-11.9</v>
      </c>
      <c r="D56" s="30">
        <f t="shared" si="0"/>
        <v>45.988200000000006</v>
      </c>
    </row>
    <row r="57" spans="1:4" x14ac:dyDescent="0.25">
      <c r="A57" s="30" t="s">
        <v>65</v>
      </c>
      <c r="B57" s="30">
        <v>81.099999999999994</v>
      </c>
      <c r="C57" s="30">
        <v>-0.9</v>
      </c>
      <c r="D57" s="30">
        <f t="shared" si="0"/>
        <v>80.370099999999994</v>
      </c>
    </row>
    <row r="58" spans="1:4" x14ac:dyDescent="0.25">
      <c r="A58" s="30" t="s">
        <v>66</v>
      </c>
      <c r="B58" s="30">
        <v>90.4</v>
      </c>
      <c r="C58" s="30">
        <v>-14.8</v>
      </c>
      <c r="D58" s="30">
        <f t="shared" si="0"/>
        <v>77.020800000000008</v>
      </c>
    </row>
    <row r="59" spans="1:4" x14ac:dyDescent="0.25">
      <c r="A59" s="30" t="s">
        <v>68</v>
      </c>
      <c r="B59" s="30">
        <v>82.2</v>
      </c>
      <c r="C59" s="30">
        <v>-9.9</v>
      </c>
      <c r="D59" s="30">
        <f t="shared" si="0"/>
        <v>74.062200000000004</v>
      </c>
    </row>
    <row r="60" spans="1:4" x14ac:dyDescent="0.25">
      <c r="A60" s="30" t="s">
        <v>69</v>
      </c>
      <c r="B60" s="30">
        <v>113.4</v>
      </c>
      <c r="C60" s="30">
        <v>-23.9</v>
      </c>
      <c r="D60" s="30">
        <f t="shared" si="0"/>
        <v>86.29740000000001</v>
      </c>
    </row>
    <row r="61" spans="1:4" x14ac:dyDescent="0.25">
      <c r="A61" s="30" t="s">
        <v>70</v>
      </c>
      <c r="B61" s="30">
        <v>122.7</v>
      </c>
      <c r="C61" s="30">
        <v>-13.2</v>
      </c>
      <c r="D61" s="30">
        <f t="shared" si="0"/>
        <v>106.50360000000001</v>
      </c>
    </row>
    <row r="62" spans="1:4" x14ac:dyDescent="0.25">
      <c r="A62" s="30" t="s">
        <v>71</v>
      </c>
      <c r="B62" s="30">
        <v>86</v>
      </c>
      <c r="C62" s="30">
        <v>-6.1</v>
      </c>
      <c r="D62" s="30">
        <f t="shared" si="0"/>
        <v>80.754000000000005</v>
      </c>
    </row>
    <row r="63" spans="1:4" x14ac:dyDescent="0.25">
      <c r="A63" s="30" t="s">
        <v>72</v>
      </c>
      <c r="B63" s="30">
        <v>106.8</v>
      </c>
      <c r="C63" s="30">
        <v>2.1</v>
      </c>
      <c r="D63" s="30">
        <f t="shared" si="0"/>
        <v>109.04279999999999</v>
      </c>
    </row>
    <row r="64" spans="1:4" x14ac:dyDescent="0.25">
      <c r="A64" s="30" t="s">
        <v>73</v>
      </c>
      <c r="B64" s="30">
        <v>114</v>
      </c>
      <c r="C64" s="30">
        <v>-4.4000000000000004</v>
      </c>
      <c r="D64" s="30">
        <f t="shared" si="0"/>
        <v>108.98399999999999</v>
      </c>
    </row>
    <row r="65" spans="1:4" x14ac:dyDescent="0.25">
      <c r="A65" s="30" t="s">
        <v>74</v>
      </c>
      <c r="B65" s="30">
        <v>123.3</v>
      </c>
      <c r="C65" s="30">
        <v>-14.6</v>
      </c>
      <c r="D65" s="30">
        <f t="shared" si="0"/>
        <v>105.29819999999999</v>
      </c>
    </row>
    <row r="66" spans="1:4" x14ac:dyDescent="0.25">
      <c r="A66" s="30" t="s">
        <v>75</v>
      </c>
      <c r="B66" s="30">
        <v>141.9</v>
      </c>
      <c r="C66" s="30">
        <v>-14</v>
      </c>
      <c r="D66" s="30">
        <f t="shared" si="0"/>
        <v>122.03400000000001</v>
      </c>
    </row>
    <row r="67" spans="1:4" x14ac:dyDescent="0.25">
      <c r="A67" s="30" t="s">
        <v>76</v>
      </c>
      <c r="B67" s="30">
        <v>102.3</v>
      </c>
      <c r="C67" s="30">
        <v>-1.1000000000000001</v>
      </c>
      <c r="D67" s="30">
        <f t="shared" ref="D67:D86" si="1">B67*(1+C67:C67/100)</f>
        <v>101.1747</v>
      </c>
    </row>
    <row r="68" spans="1:4" x14ac:dyDescent="0.25">
      <c r="A68" s="30" t="s">
        <v>77</v>
      </c>
      <c r="B68" s="30">
        <v>157.4</v>
      </c>
      <c r="C68" s="30">
        <v>2.1</v>
      </c>
      <c r="D68" s="30">
        <f t="shared" si="1"/>
        <v>160.7054</v>
      </c>
    </row>
    <row r="69" spans="1:4" x14ac:dyDescent="0.25">
      <c r="A69" s="30" t="s">
        <v>78</v>
      </c>
      <c r="B69" s="30">
        <v>85.8</v>
      </c>
      <c r="C69" s="30">
        <v>2.4</v>
      </c>
      <c r="D69" s="30">
        <f t="shared" si="1"/>
        <v>87.859200000000001</v>
      </c>
    </row>
    <row r="70" spans="1:4" x14ac:dyDescent="0.25">
      <c r="A70" s="30" t="s">
        <v>79</v>
      </c>
      <c r="B70" s="30">
        <v>117</v>
      </c>
      <c r="C70" s="30">
        <v>-6.3</v>
      </c>
      <c r="D70" s="30">
        <f t="shared" si="1"/>
        <v>109.629</v>
      </c>
    </row>
    <row r="71" spans="1:4" x14ac:dyDescent="0.25">
      <c r="A71" s="30" t="s">
        <v>80</v>
      </c>
      <c r="B71" s="30">
        <v>77</v>
      </c>
      <c r="C71" s="30">
        <v>-9.6</v>
      </c>
      <c r="D71" s="30">
        <f t="shared" si="1"/>
        <v>69.608000000000004</v>
      </c>
    </row>
    <row r="72" spans="1:4" x14ac:dyDescent="0.25">
      <c r="A72" s="30" t="s">
        <v>81</v>
      </c>
      <c r="B72" s="30">
        <v>71.900000000000006</v>
      </c>
      <c r="C72" s="30">
        <v>-8.5</v>
      </c>
      <c r="D72" s="30">
        <f t="shared" si="1"/>
        <v>65.788500000000013</v>
      </c>
    </row>
    <row r="73" spans="1:4" x14ac:dyDescent="0.25">
      <c r="A73" s="30" t="s">
        <v>82</v>
      </c>
      <c r="B73" s="30">
        <v>126.8</v>
      </c>
      <c r="C73" s="30">
        <v>1.8</v>
      </c>
      <c r="D73" s="30">
        <f t="shared" si="1"/>
        <v>129.08240000000001</v>
      </c>
    </row>
    <row r="74" spans="1:4" x14ac:dyDescent="0.25">
      <c r="A74" s="30" t="s">
        <v>83</v>
      </c>
      <c r="B74" s="30">
        <v>101.4</v>
      </c>
      <c r="C74" s="30">
        <v>-2</v>
      </c>
      <c r="D74" s="30">
        <f t="shared" si="1"/>
        <v>99.372</v>
      </c>
    </row>
    <row r="75" spans="1:4" x14ac:dyDescent="0.25">
      <c r="A75" s="30" t="s">
        <v>85</v>
      </c>
      <c r="B75" s="30">
        <v>98.4</v>
      </c>
      <c r="C75" s="30">
        <v>-6.2</v>
      </c>
      <c r="D75" s="30">
        <f t="shared" si="1"/>
        <v>92.299199999999999</v>
      </c>
    </row>
    <row r="76" spans="1:4" x14ac:dyDescent="0.25">
      <c r="A76" s="30" t="s">
        <v>86</v>
      </c>
      <c r="B76" s="30">
        <v>150.5</v>
      </c>
      <c r="C76" s="30">
        <v>2.5</v>
      </c>
      <c r="D76" s="30">
        <f t="shared" si="1"/>
        <v>154.26249999999999</v>
      </c>
    </row>
    <row r="77" spans="1:4" x14ac:dyDescent="0.25">
      <c r="A77" s="30" t="s">
        <v>88</v>
      </c>
      <c r="B77" s="30">
        <v>110.3</v>
      </c>
      <c r="C77" s="30">
        <v>-6.1</v>
      </c>
      <c r="D77" s="30">
        <f t="shared" si="1"/>
        <v>103.57170000000001</v>
      </c>
    </row>
    <row r="78" spans="1:4" x14ac:dyDescent="0.25">
      <c r="A78" s="30" t="s">
        <v>89</v>
      </c>
      <c r="B78" s="30">
        <v>102.7</v>
      </c>
      <c r="C78" s="30">
        <v>-19.600000000000001</v>
      </c>
      <c r="D78" s="30">
        <f t="shared" si="1"/>
        <v>82.570800000000006</v>
      </c>
    </row>
    <row r="79" spans="1:4" x14ac:dyDescent="0.25">
      <c r="A79" s="30" t="s">
        <v>90</v>
      </c>
      <c r="B79" s="30">
        <v>77.5</v>
      </c>
      <c r="C79" s="30">
        <v>-2.2000000000000002</v>
      </c>
      <c r="D79" s="30">
        <f t="shared" si="1"/>
        <v>75.795000000000002</v>
      </c>
    </row>
    <row r="80" spans="1:4" x14ac:dyDescent="0.25">
      <c r="A80" s="30" t="s">
        <v>91</v>
      </c>
      <c r="B80" s="30">
        <v>150.19999999999999</v>
      </c>
      <c r="C80" s="30">
        <v>-8.9</v>
      </c>
      <c r="D80" s="30">
        <f t="shared" si="1"/>
        <v>136.8322</v>
      </c>
    </row>
    <row r="81" spans="1:4" x14ac:dyDescent="0.25">
      <c r="A81" s="30" t="s">
        <v>92</v>
      </c>
      <c r="B81" s="30">
        <v>86.4</v>
      </c>
      <c r="C81" s="30">
        <v>-21.6</v>
      </c>
      <c r="D81" s="30">
        <f t="shared" si="1"/>
        <v>67.7376</v>
      </c>
    </row>
    <row r="82" spans="1:4" x14ac:dyDescent="0.25">
      <c r="A82" s="30" t="s">
        <v>93</v>
      </c>
      <c r="B82" s="30">
        <v>69.400000000000006</v>
      </c>
      <c r="C82" s="30">
        <v>-10.5</v>
      </c>
      <c r="D82" s="30">
        <f t="shared" si="1"/>
        <v>62.113000000000007</v>
      </c>
    </row>
    <row r="83" spans="1:4" x14ac:dyDescent="0.25">
      <c r="A83" s="30" t="s">
        <v>94</v>
      </c>
      <c r="B83" s="30">
        <v>120.8</v>
      </c>
      <c r="C83" s="30">
        <v>-15.2</v>
      </c>
      <c r="D83" s="30">
        <f t="shared" si="1"/>
        <v>102.4384</v>
      </c>
    </row>
    <row r="84" spans="1:4" x14ac:dyDescent="0.25">
      <c r="A84" s="30" t="s">
        <v>95</v>
      </c>
      <c r="B84" s="30">
        <v>76.900000000000006</v>
      </c>
      <c r="C84" s="30">
        <v>-17.399999999999999</v>
      </c>
      <c r="D84" s="30">
        <f t="shared" si="1"/>
        <v>63.519400000000012</v>
      </c>
    </row>
    <row r="85" spans="1:4" x14ac:dyDescent="0.25">
      <c r="A85" s="30" t="s">
        <v>96</v>
      </c>
      <c r="B85" s="30">
        <v>164</v>
      </c>
      <c r="C85" s="30">
        <v>-0.6</v>
      </c>
      <c r="D85" s="30">
        <f t="shared" si="1"/>
        <v>163.01599999999999</v>
      </c>
    </row>
    <row r="86" spans="1:4" x14ac:dyDescent="0.25">
      <c r="A86" s="30" t="s">
        <v>97</v>
      </c>
      <c r="B86" s="30">
        <v>99.6</v>
      </c>
      <c r="C86" s="30">
        <v>-4.0999999999999996</v>
      </c>
      <c r="D86" s="30">
        <f t="shared" si="1"/>
        <v>95.51639999999999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topLeftCell="A73" workbookViewId="0">
      <selection activeCell="B1" sqref="B1:C86"/>
    </sheetView>
  </sheetViews>
  <sheetFormatPr defaultRowHeight="15" x14ac:dyDescent="0.25"/>
  <cols>
    <col min="1" max="1" width="21.140625" customWidth="1"/>
    <col min="2" max="2" width="27.7109375" customWidth="1"/>
    <col min="3" max="3" width="28.28515625" customWidth="1"/>
    <col min="4" max="4" width="34.85546875" customWidth="1"/>
    <col min="5" max="5" width="42.85546875" customWidth="1"/>
  </cols>
  <sheetData>
    <row r="1" spans="1:5" ht="117.75" customHeight="1" x14ac:dyDescent="0.25">
      <c r="A1" s="41" t="s">
        <v>0</v>
      </c>
      <c r="B1" s="42" t="s">
        <v>1</v>
      </c>
      <c r="C1" s="41" t="s">
        <v>149</v>
      </c>
      <c r="D1" s="41" t="s">
        <v>150</v>
      </c>
      <c r="E1" s="41" t="s">
        <v>151</v>
      </c>
    </row>
    <row r="2" spans="1:5" x14ac:dyDescent="0.25">
      <c r="A2" s="30">
        <v>71</v>
      </c>
      <c r="B2" s="30" t="s">
        <v>7</v>
      </c>
      <c r="C2" s="30">
        <v>131</v>
      </c>
      <c r="D2" s="30">
        <v>9.1999999999999993</v>
      </c>
      <c r="E2" s="30">
        <v>70.099999999999994</v>
      </c>
    </row>
    <row r="3" spans="1:5" x14ac:dyDescent="0.25">
      <c r="A3" s="30">
        <v>3</v>
      </c>
      <c r="B3" s="30" t="s">
        <v>8</v>
      </c>
      <c r="C3" s="30">
        <v>41.5</v>
      </c>
      <c r="D3" s="30">
        <v>-5.3</v>
      </c>
      <c r="E3" s="30">
        <v>28.1</v>
      </c>
    </row>
    <row r="4" spans="1:5" x14ac:dyDescent="0.25">
      <c r="A4" s="30">
        <v>6</v>
      </c>
      <c r="B4" s="30" t="s">
        <v>9</v>
      </c>
      <c r="C4" s="30">
        <v>56</v>
      </c>
      <c r="D4" s="30">
        <v>-22.2</v>
      </c>
      <c r="E4" s="30">
        <v>25.1</v>
      </c>
    </row>
    <row r="5" spans="1:5" x14ac:dyDescent="0.25">
      <c r="A5" s="30">
        <v>57</v>
      </c>
      <c r="B5" s="30" t="s">
        <v>10</v>
      </c>
      <c r="C5" s="30">
        <v>113.9</v>
      </c>
      <c r="D5" s="30">
        <v>-10</v>
      </c>
      <c r="E5" s="30">
        <v>49.8</v>
      </c>
    </row>
    <row r="6" spans="1:5" x14ac:dyDescent="0.25">
      <c r="A6" s="30">
        <v>1</v>
      </c>
      <c r="B6" s="30" t="s">
        <v>11</v>
      </c>
      <c r="C6" s="30">
        <v>13.8</v>
      </c>
      <c r="D6" s="30">
        <v>-5.0999999999999996</v>
      </c>
      <c r="E6" s="30">
        <v>6.5</v>
      </c>
    </row>
    <row r="7" spans="1:5" x14ac:dyDescent="0.25">
      <c r="A7" s="30">
        <v>36</v>
      </c>
      <c r="B7" s="30" t="s">
        <v>12</v>
      </c>
      <c r="C7" s="30">
        <v>99.4</v>
      </c>
      <c r="D7" s="30">
        <v>3.2</v>
      </c>
      <c r="E7" s="30">
        <v>57.4</v>
      </c>
    </row>
    <row r="8" spans="1:5" x14ac:dyDescent="0.25">
      <c r="A8" s="30">
        <v>9</v>
      </c>
      <c r="B8" s="30" t="s">
        <v>152</v>
      </c>
      <c r="C8" s="30">
        <v>59.8</v>
      </c>
      <c r="D8" s="30">
        <v>-4.8</v>
      </c>
      <c r="E8" s="30">
        <v>45</v>
      </c>
    </row>
    <row r="9" spans="1:5" x14ac:dyDescent="0.25">
      <c r="A9" s="30">
        <v>55</v>
      </c>
      <c r="B9" s="30" t="s">
        <v>17</v>
      </c>
      <c r="C9" s="30">
        <v>113</v>
      </c>
      <c r="D9" s="30">
        <v>-0.9</v>
      </c>
      <c r="E9" s="30">
        <v>58.3</v>
      </c>
    </row>
    <row r="10" spans="1:5" x14ac:dyDescent="0.25">
      <c r="A10" s="30">
        <v>34</v>
      </c>
      <c r="B10" s="30" t="s">
        <v>18</v>
      </c>
      <c r="C10" s="30">
        <v>96.8</v>
      </c>
      <c r="D10" s="30">
        <v>2.4</v>
      </c>
      <c r="E10" s="30">
        <v>51.1</v>
      </c>
    </row>
    <row r="11" spans="1:5" x14ac:dyDescent="0.25">
      <c r="A11" s="30">
        <v>50</v>
      </c>
      <c r="B11" s="30" t="s">
        <v>19</v>
      </c>
      <c r="C11" s="30">
        <v>111.1</v>
      </c>
      <c r="D11" s="30">
        <v>7.2</v>
      </c>
      <c r="E11" s="30">
        <v>50.7</v>
      </c>
    </row>
    <row r="12" spans="1:5" x14ac:dyDescent="0.25">
      <c r="A12" s="30">
        <v>82</v>
      </c>
      <c r="B12" s="30" t="s">
        <v>20</v>
      </c>
      <c r="C12" s="30">
        <v>185.9</v>
      </c>
      <c r="D12" s="30">
        <v>22.6</v>
      </c>
      <c r="E12" s="43">
        <v>108.6</v>
      </c>
    </row>
    <row r="13" spans="1:5" x14ac:dyDescent="0.25">
      <c r="A13" s="30">
        <v>47</v>
      </c>
      <c r="B13" s="30" t="s">
        <v>21</v>
      </c>
      <c r="C13" s="30">
        <v>107.5</v>
      </c>
      <c r="D13" s="30">
        <v>5</v>
      </c>
      <c r="E13" s="30">
        <v>72.8</v>
      </c>
    </row>
    <row r="14" spans="1:5" x14ac:dyDescent="0.25">
      <c r="A14" s="30">
        <v>2</v>
      </c>
      <c r="B14" s="30" t="s">
        <v>22</v>
      </c>
      <c r="C14" s="30">
        <v>39.799999999999997</v>
      </c>
      <c r="D14" s="30">
        <v>-13.4</v>
      </c>
      <c r="E14" s="30">
        <v>20.5</v>
      </c>
    </row>
    <row r="15" spans="1:5" x14ac:dyDescent="0.25">
      <c r="A15" s="30">
        <v>42</v>
      </c>
      <c r="B15" s="30" t="s">
        <v>23</v>
      </c>
      <c r="C15" s="30">
        <v>104.6</v>
      </c>
      <c r="D15" s="30">
        <v>7.8</v>
      </c>
      <c r="E15" s="30">
        <v>66.599999999999994</v>
      </c>
    </row>
    <row r="16" spans="1:5" x14ac:dyDescent="0.25">
      <c r="A16" s="30">
        <v>41</v>
      </c>
      <c r="B16" s="30" t="s">
        <v>24</v>
      </c>
      <c r="C16" s="30">
        <v>103.9</v>
      </c>
      <c r="D16" s="30">
        <v>2</v>
      </c>
      <c r="E16" s="30">
        <v>67.7</v>
      </c>
    </row>
    <row r="17" spans="1:5" x14ac:dyDescent="0.25">
      <c r="A17" s="30">
        <v>61</v>
      </c>
      <c r="B17" s="30" t="s">
        <v>25</v>
      </c>
      <c r="C17" s="30">
        <v>117.1</v>
      </c>
      <c r="D17" s="30">
        <v>5.4</v>
      </c>
      <c r="E17" s="30">
        <v>54.1</v>
      </c>
    </row>
    <row r="18" spans="1:5" x14ac:dyDescent="0.25">
      <c r="A18" s="30">
        <v>73</v>
      </c>
      <c r="B18" s="30" t="s">
        <v>26</v>
      </c>
      <c r="C18" s="30">
        <v>141.5</v>
      </c>
      <c r="D18" s="30">
        <v>15.8</v>
      </c>
      <c r="E18" s="30">
        <v>62.4</v>
      </c>
    </row>
    <row r="19" spans="1:5" x14ac:dyDescent="0.25">
      <c r="A19" s="30">
        <v>80</v>
      </c>
      <c r="B19" s="30" t="s">
        <v>27</v>
      </c>
      <c r="C19" s="30">
        <v>159.5</v>
      </c>
      <c r="D19" s="30">
        <v>7.3</v>
      </c>
      <c r="E19" s="30">
        <v>60.2</v>
      </c>
    </row>
    <row r="20" spans="1:5" x14ac:dyDescent="0.25">
      <c r="A20" s="30">
        <v>7</v>
      </c>
      <c r="B20" s="30" t="s">
        <v>28</v>
      </c>
      <c r="C20" s="30">
        <v>57.1</v>
      </c>
      <c r="D20" s="30">
        <v>13</v>
      </c>
      <c r="E20" s="30">
        <v>41.2</v>
      </c>
    </row>
    <row r="21" spans="1:5" x14ac:dyDescent="0.25">
      <c r="A21" s="30">
        <v>19</v>
      </c>
      <c r="B21" s="30" t="s">
        <v>29</v>
      </c>
      <c r="C21" s="30">
        <v>79</v>
      </c>
      <c r="D21" s="30">
        <v>-1.2</v>
      </c>
      <c r="E21" s="30">
        <v>54.7</v>
      </c>
    </row>
    <row r="22" spans="1:5" x14ac:dyDescent="0.25">
      <c r="A22" s="30">
        <v>53</v>
      </c>
      <c r="B22" s="30" t="s">
        <v>30</v>
      </c>
      <c r="C22" s="30">
        <v>112.9</v>
      </c>
      <c r="D22" s="30">
        <v>3</v>
      </c>
      <c r="E22" s="30">
        <v>64.5</v>
      </c>
    </row>
    <row r="23" spans="1:5" x14ac:dyDescent="0.25">
      <c r="A23" s="30">
        <v>31</v>
      </c>
      <c r="B23" s="30" t="s">
        <v>31</v>
      </c>
      <c r="C23" s="30">
        <v>90.3</v>
      </c>
      <c r="D23" s="30">
        <v>-4.7</v>
      </c>
      <c r="E23" s="30">
        <v>38.4</v>
      </c>
    </row>
    <row r="24" spans="1:5" x14ac:dyDescent="0.25">
      <c r="A24" s="30">
        <v>52</v>
      </c>
      <c r="B24" s="30" t="s">
        <v>32</v>
      </c>
      <c r="C24" s="30">
        <v>112.3</v>
      </c>
      <c r="D24" s="30">
        <v>15.8</v>
      </c>
      <c r="E24" s="30">
        <v>59.4</v>
      </c>
    </row>
    <row r="25" spans="1:5" x14ac:dyDescent="0.25">
      <c r="A25" s="30">
        <v>58</v>
      </c>
      <c r="B25" s="30" t="s">
        <v>33</v>
      </c>
      <c r="C25" s="30">
        <v>115</v>
      </c>
      <c r="D25" s="30">
        <v>5.6</v>
      </c>
      <c r="E25" s="30">
        <v>80.599999999999994</v>
      </c>
    </row>
    <row r="26" spans="1:5" x14ac:dyDescent="0.25">
      <c r="A26" s="30">
        <v>12</v>
      </c>
      <c r="B26" s="30" t="s">
        <v>34</v>
      </c>
      <c r="C26" s="30">
        <v>69.599999999999994</v>
      </c>
      <c r="D26" s="30">
        <v>19.3</v>
      </c>
      <c r="E26" s="30">
        <v>39</v>
      </c>
    </row>
    <row r="27" spans="1:5" x14ac:dyDescent="0.25">
      <c r="A27" s="30">
        <v>10</v>
      </c>
      <c r="B27" s="30" t="s">
        <v>35</v>
      </c>
      <c r="C27" s="30">
        <v>67.2</v>
      </c>
      <c r="D27" s="30">
        <v>-15.1</v>
      </c>
      <c r="E27" s="30">
        <v>45.3</v>
      </c>
    </row>
    <row r="28" spans="1:5" x14ac:dyDescent="0.25">
      <c r="A28" s="30">
        <v>85</v>
      </c>
      <c r="B28" s="30" t="s">
        <v>36</v>
      </c>
      <c r="C28" s="30">
        <v>315.60000000000002</v>
      </c>
      <c r="D28" s="30">
        <v>30.9</v>
      </c>
      <c r="E28" s="30">
        <v>107</v>
      </c>
    </row>
    <row r="29" spans="1:5" x14ac:dyDescent="0.25">
      <c r="A29" s="30">
        <v>51</v>
      </c>
      <c r="B29" s="30" t="s">
        <v>37</v>
      </c>
      <c r="C29" s="30">
        <v>111.2</v>
      </c>
      <c r="D29" s="30">
        <v>3.4</v>
      </c>
      <c r="E29" s="30">
        <v>48.5</v>
      </c>
    </row>
    <row r="30" spans="1:5" x14ac:dyDescent="0.25">
      <c r="A30" s="30">
        <v>74</v>
      </c>
      <c r="B30" s="30" t="s">
        <v>153</v>
      </c>
      <c r="C30" s="30">
        <v>150.4</v>
      </c>
      <c r="D30" s="30">
        <v>42.7</v>
      </c>
      <c r="E30" s="30">
        <v>102.1</v>
      </c>
    </row>
    <row r="31" spans="1:5" x14ac:dyDescent="0.25">
      <c r="A31" s="30">
        <v>44</v>
      </c>
      <c r="B31" s="30" t="s">
        <v>39</v>
      </c>
      <c r="C31" s="30">
        <v>106.3</v>
      </c>
      <c r="D31" s="30">
        <v>-2.2999999999999998</v>
      </c>
      <c r="E31" s="30">
        <v>46.4</v>
      </c>
    </row>
    <row r="32" spans="1:5" x14ac:dyDescent="0.25">
      <c r="A32" s="30">
        <v>21</v>
      </c>
      <c r="B32" s="30" t="s">
        <v>40</v>
      </c>
      <c r="C32" s="30">
        <v>79.7</v>
      </c>
      <c r="D32" s="30">
        <v>-24.8</v>
      </c>
      <c r="E32" s="30">
        <v>46</v>
      </c>
    </row>
    <row r="33" spans="1:5" x14ac:dyDescent="0.25">
      <c r="A33" s="30">
        <v>63</v>
      </c>
      <c r="B33" s="30" t="s">
        <v>41</v>
      </c>
      <c r="C33" s="30">
        <v>120.5</v>
      </c>
      <c r="D33" s="30">
        <v>4.5999999999999996</v>
      </c>
      <c r="E33" s="30">
        <v>51</v>
      </c>
    </row>
    <row r="34" spans="1:5" x14ac:dyDescent="0.25">
      <c r="A34" s="30">
        <v>48</v>
      </c>
      <c r="B34" s="30" t="s">
        <v>42</v>
      </c>
      <c r="C34" s="30">
        <v>110</v>
      </c>
      <c r="D34" s="30">
        <v>-6.1</v>
      </c>
      <c r="E34" s="30">
        <v>43</v>
      </c>
    </row>
    <row r="35" spans="1:5" x14ac:dyDescent="0.25">
      <c r="A35" s="30">
        <v>69</v>
      </c>
      <c r="B35" s="30" t="s">
        <v>43</v>
      </c>
      <c r="C35" s="30">
        <v>124.6</v>
      </c>
      <c r="D35" s="30">
        <v>6.9</v>
      </c>
      <c r="E35" s="30">
        <v>71.400000000000006</v>
      </c>
    </row>
    <row r="36" spans="1:5" x14ac:dyDescent="0.25">
      <c r="A36" s="30">
        <v>20</v>
      </c>
      <c r="B36" s="30" t="s">
        <v>44</v>
      </c>
      <c r="C36" s="30">
        <v>79.5</v>
      </c>
      <c r="D36" s="30">
        <v>2.6</v>
      </c>
      <c r="E36" s="30">
        <v>59.3</v>
      </c>
    </row>
    <row r="37" spans="1:5" x14ac:dyDescent="0.25">
      <c r="A37" s="30">
        <v>83</v>
      </c>
      <c r="B37" s="30" t="s">
        <v>45</v>
      </c>
      <c r="C37" s="30">
        <v>186.4</v>
      </c>
      <c r="D37" s="30">
        <v>36</v>
      </c>
      <c r="E37" s="30">
        <v>133.5</v>
      </c>
    </row>
    <row r="38" spans="1:5" x14ac:dyDescent="0.25">
      <c r="A38" s="30">
        <v>17</v>
      </c>
      <c r="B38" s="30" t="s">
        <v>46</v>
      </c>
      <c r="C38" s="30">
        <v>78.7</v>
      </c>
      <c r="D38" s="30">
        <v>-4.3</v>
      </c>
      <c r="E38" s="30">
        <v>38.1</v>
      </c>
    </row>
    <row r="39" spans="1:5" x14ac:dyDescent="0.25">
      <c r="A39" s="30">
        <v>26</v>
      </c>
      <c r="B39" s="30" t="s">
        <v>47</v>
      </c>
      <c r="C39" s="30">
        <v>85.3</v>
      </c>
      <c r="D39" s="30">
        <v>9.6</v>
      </c>
      <c r="E39" s="30">
        <v>38.299999999999997</v>
      </c>
    </row>
    <row r="40" spans="1:5" x14ac:dyDescent="0.25">
      <c r="A40" s="30">
        <v>66</v>
      </c>
      <c r="B40" s="30" t="s">
        <v>48</v>
      </c>
      <c r="C40" s="30">
        <v>122.6</v>
      </c>
      <c r="D40" s="30">
        <v>24.6</v>
      </c>
      <c r="E40" s="30">
        <v>65.099999999999994</v>
      </c>
    </row>
    <row r="41" spans="1:5" x14ac:dyDescent="0.25">
      <c r="A41" s="30">
        <v>23</v>
      </c>
      <c r="B41" s="30" t="s">
        <v>49</v>
      </c>
      <c r="C41" s="30">
        <v>83.7</v>
      </c>
      <c r="D41" s="30">
        <v>8.6999999999999993</v>
      </c>
      <c r="E41" s="30">
        <v>47.9</v>
      </c>
    </row>
    <row r="42" spans="1:5" x14ac:dyDescent="0.25">
      <c r="A42" s="30">
        <v>70</v>
      </c>
      <c r="B42" s="30" t="s">
        <v>50</v>
      </c>
      <c r="C42" s="30">
        <v>129</v>
      </c>
      <c r="D42" s="30">
        <v>-12.7</v>
      </c>
      <c r="E42" s="30">
        <v>75</v>
      </c>
    </row>
    <row r="43" spans="1:5" x14ac:dyDescent="0.25">
      <c r="A43" s="30">
        <v>14</v>
      </c>
      <c r="B43" s="30" t="s">
        <v>51</v>
      </c>
      <c r="C43" s="30">
        <v>78.599999999999994</v>
      </c>
      <c r="D43" s="30">
        <v>15.9</v>
      </c>
      <c r="E43" s="30">
        <v>50.2</v>
      </c>
    </row>
    <row r="44" spans="1:5" x14ac:dyDescent="0.25">
      <c r="A44" s="30">
        <v>35</v>
      </c>
      <c r="B44" s="30" t="s">
        <v>52</v>
      </c>
      <c r="C44" s="30">
        <v>99</v>
      </c>
      <c r="D44" s="30">
        <v>6.9</v>
      </c>
      <c r="E44" s="30">
        <v>75.2</v>
      </c>
    </row>
    <row r="45" spans="1:5" x14ac:dyDescent="0.25">
      <c r="A45" s="30">
        <v>39</v>
      </c>
      <c r="B45" s="30" t="s">
        <v>53</v>
      </c>
      <c r="C45" s="30">
        <v>100.2</v>
      </c>
      <c r="D45" s="30">
        <v>3</v>
      </c>
      <c r="E45" s="30">
        <v>77.7</v>
      </c>
    </row>
    <row r="46" spans="1:5" x14ac:dyDescent="0.25">
      <c r="A46" s="30">
        <v>13</v>
      </c>
      <c r="B46" s="30" t="s">
        <v>54</v>
      </c>
      <c r="C46" s="30">
        <v>78.5</v>
      </c>
      <c r="D46" s="30">
        <v>13.9</v>
      </c>
      <c r="E46" s="30">
        <v>46.7</v>
      </c>
    </row>
    <row r="47" spans="1:5" x14ac:dyDescent="0.25">
      <c r="A47" s="30">
        <v>72</v>
      </c>
      <c r="B47" s="30" t="s">
        <v>55</v>
      </c>
      <c r="C47" s="30">
        <v>131.69999999999999</v>
      </c>
      <c r="D47" s="30">
        <v>6.1</v>
      </c>
      <c r="E47" s="30">
        <v>77.8</v>
      </c>
    </row>
    <row r="48" spans="1:5" x14ac:dyDescent="0.25">
      <c r="A48" s="30">
        <v>29</v>
      </c>
      <c r="B48" s="30" t="s">
        <v>56</v>
      </c>
      <c r="C48" s="30">
        <v>88.3</v>
      </c>
      <c r="D48" s="30">
        <v>8.8000000000000007</v>
      </c>
      <c r="E48" s="30">
        <v>57.5</v>
      </c>
    </row>
    <row r="49" spans="1:5" x14ac:dyDescent="0.25">
      <c r="A49" s="30">
        <v>8</v>
      </c>
      <c r="B49" s="30" t="s">
        <v>57</v>
      </c>
      <c r="C49" s="30">
        <v>57.5</v>
      </c>
      <c r="D49" s="30">
        <v>6.3</v>
      </c>
      <c r="E49" s="30">
        <v>43</v>
      </c>
    </row>
    <row r="50" spans="1:5" x14ac:dyDescent="0.25">
      <c r="A50" s="30">
        <v>84</v>
      </c>
      <c r="B50" s="30" t="s">
        <v>58</v>
      </c>
      <c r="C50" s="30">
        <v>198.9</v>
      </c>
      <c r="D50" s="30">
        <v>39.799999999999997</v>
      </c>
      <c r="E50" s="30">
        <v>91.5</v>
      </c>
    </row>
    <row r="51" spans="1:5" x14ac:dyDescent="0.25">
      <c r="A51" s="30">
        <v>15</v>
      </c>
      <c r="B51" s="30" t="s">
        <v>59</v>
      </c>
      <c r="C51" s="30">
        <v>78.599999999999994</v>
      </c>
      <c r="D51" s="30">
        <v>9.1</v>
      </c>
      <c r="E51" s="30">
        <v>45.3</v>
      </c>
    </row>
    <row r="52" spans="1:5" x14ac:dyDescent="0.25">
      <c r="A52" s="30">
        <v>46</v>
      </c>
      <c r="B52" s="30" t="s">
        <v>60</v>
      </c>
      <c r="C52" s="30">
        <v>106.7</v>
      </c>
      <c r="D52" s="30">
        <v>-3.2</v>
      </c>
      <c r="E52" s="30">
        <v>66.3</v>
      </c>
    </row>
    <row r="53" spans="1:5" x14ac:dyDescent="0.25">
      <c r="A53" s="30">
        <v>62</v>
      </c>
      <c r="B53" s="30" t="s">
        <v>61</v>
      </c>
      <c r="C53" s="30">
        <v>119.9</v>
      </c>
      <c r="D53" s="30">
        <v>2.4</v>
      </c>
      <c r="E53" s="30">
        <v>83.2</v>
      </c>
    </row>
    <row r="54" spans="1:5" x14ac:dyDescent="0.25">
      <c r="A54" s="30">
        <v>4</v>
      </c>
      <c r="B54" s="30" t="s">
        <v>62</v>
      </c>
      <c r="C54" s="30">
        <v>49.4</v>
      </c>
      <c r="D54" s="30">
        <v>0</v>
      </c>
      <c r="E54" s="30">
        <v>19.3</v>
      </c>
    </row>
    <row r="55" spans="1:5" x14ac:dyDescent="0.25">
      <c r="A55" s="30">
        <v>28</v>
      </c>
      <c r="B55" s="30" t="s">
        <v>63</v>
      </c>
      <c r="C55" s="30">
        <v>86.8</v>
      </c>
      <c r="D55" s="30">
        <v>-1.1000000000000001</v>
      </c>
      <c r="E55" s="30">
        <v>63.8</v>
      </c>
    </row>
    <row r="56" spans="1:5" x14ac:dyDescent="0.25">
      <c r="A56" s="30">
        <v>5</v>
      </c>
      <c r="B56" s="30" t="s">
        <v>64</v>
      </c>
      <c r="C56" s="30">
        <v>50.6</v>
      </c>
      <c r="D56" s="30">
        <v>-3.4</v>
      </c>
      <c r="E56" s="30">
        <v>26</v>
      </c>
    </row>
    <row r="57" spans="1:5" x14ac:dyDescent="0.25">
      <c r="A57" s="30">
        <v>16</v>
      </c>
      <c r="B57" s="30" t="s">
        <v>65</v>
      </c>
      <c r="C57" s="30">
        <v>78.599999999999994</v>
      </c>
      <c r="D57" s="30">
        <v>-3.1</v>
      </c>
      <c r="E57" s="30">
        <v>31.6</v>
      </c>
    </row>
    <row r="58" spans="1:5" x14ac:dyDescent="0.25">
      <c r="A58" s="30">
        <v>37</v>
      </c>
      <c r="B58" s="30" t="s">
        <v>66</v>
      </c>
      <c r="C58" s="30">
        <v>99.5</v>
      </c>
      <c r="D58" s="30">
        <v>10.1</v>
      </c>
      <c r="E58" s="30">
        <v>79.7</v>
      </c>
    </row>
    <row r="59" spans="1:5" x14ac:dyDescent="0.25">
      <c r="A59" s="30">
        <v>38</v>
      </c>
      <c r="B59" s="30" t="s">
        <v>68</v>
      </c>
      <c r="C59" s="30">
        <v>99.9</v>
      </c>
      <c r="D59" s="30">
        <v>25.4</v>
      </c>
      <c r="E59" s="30">
        <v>71.099999999999994</v>
      </c>
    </row>
    <row r="60" spans="1:5" x14ac:dyDescent="0.25">
      <c r="A60" s="30">
        <v>60</v>
      </c>
      <c r="B60" s="30" t="s">
        <v>69</v>
      </c>
      <c r="C60" s="30">
        <v>116.3</v>
      </c>
      <c r="D60" s="30">
        <v>1.6</v>
      </c>
      <c r="E60" s="30">
        <v>57.7</v>
      </c>
    </row>
    <row r="61" spans="1:5" x14ac:dyDescent="0.25">
      <c r="A61" s="30">
        <v>45</v>
      </c>
      <c r="B61" s="30" t="s">
        <v>70</v>
      </c>
      <c r="C61" s="30">
        <v>106.6</v>
      </c>
      <c r="D61" s="30">
        <v>-13.6</v>
      </c>
      <c r="E61" s="30">
        <v>58</v>
      </c>
    </row>
    <row r="62" spans="1:5" x14ac:dyDescent="0.25">
      <c r="A62" s="30">
        <v>30</v>
      </c>
      <c r="B62" s="30" t="s">
        <v>71</v>
      </c>
      <c r="C62" s="30">
        <v>88.5</v>
      </c>
      <c r="D62" s="30">
        <v>6.2</v>
      </c>
      <c r="E62" s="30">
        <v>63.6</v>
      </c>
    </row>
    <row r="63" spans="1:5" x14ac:dyDescent="0.25">
      <c r="A63" s="30">
        <v>59</v>
      </c>
      <c r="B63" s="30" t="s">
        <v>72</v>
      </c>
      <c r="C63" s="30">
        <v>115.1</v>
      </c>
      <c r="D63" s="30">
        <v>7.4</v>
      </c>
      <c r="E63" s="30">
        <v>57.2</v>
      </c>
    </row>
    <row r="64" spans="1:5" x14ac:dyDescent="0.25">
      <c r="A64" s="30">
        <v>65</v>
      </c>
      <c r="B64" s="30" t="s">
        <v>73</v>
      </c>
      <c r="C64" s="30">
        <v>121.3</v>
      </c>
      <c r="D64" s="30">
        <v>5.8</v>
      </c>
      <c r="E64" s="30">
        <v>58.9</v>
      </c>
    </row>
    <row r="65" spans="1:5" x14ac:dyDescent="0.25">
      <c r="A65" s="30">
        <v>76</v>
      </c>
      <c r="B65" s="30" t="s">
        <v>74</v>
      </c>
      <c r="C65" s="30">
        <v>151.30000000000001</v>
      </c>
      <c r="D65" s="30">
        <v>21.4</v>
      </c>
      <c r="E65" s="30">
        <v>81.5</v>
      </c>
    </row>
    <row r="66" spans="1:5" x14ac:dyDescent="0.25">
      <c r="A66" s="30">
        <v>78</v>
      </c>
      <c r="B66" s="30" t="s">
        <v>75</v>
      </c>
      <c r="C66" s="30">
        <v>156.69999999999999</v>
      </c>
      <c r="D66" s="30">
        <v>9.3000000000000007</v>
      </c>
      <c r="E66" s="30">
        <v>81.5</v>
      </c>
    </row>
    <row r="67" spans="1:5" x14ac:dyDescent="0.25">
      <c r="A67" s="30">
        <v>43</v>
      </c>
      <c r="B67" s="30" t="s">
        <v>76</v>
      </c>
      <c r="C67" s="30">
        <v>104.9</v>
      </c>
      <c r="D67" s="30">
        <v>2.8</v>
      </c>
      <c r="E67" s="30">
        <v>57.2</v>
      </c>
    </row>
    <row r="68" spans="1:5" x14ac:dyDescent="0.25">
      <c r="A68" s="30">
        <v>77</v>
      </c>
      <c r="B68" s="30" t="s">
        <v>77</v>
      </c>
      <c r="C68" s="30">
        <v>152.80000000000001</v>
      </c>
      <c r="D68" s="30">
        <v>-2.5</v>
      </c>
      <c r="E68" s="30">
        <v>56.4</v>
      </c>
    </row>
    <row r="69" spans="1:5" x14ac:dyDescent="0.25">
      <c r="A69" s="30">
        <v>11</v>
      </c>
      <c r="B69" s="30" t="s">
        <v>78</v>
      </c>
      <c r="C69" s="30">
        <v>69</v>
      </c>
      <c r="D69" s="30">
        <v>-19</v>
      </c>
      <c r="E69" s="30">
        <v>70</v>
      </c>
    </row>
    <row r="70" spans="1:5" x14ac:dyDescent="0.25">
      <c r="A70" s="30">
        <v>68</v>
      </c>
      <c r="B70" s="30" t="s">
        <v>79</v>
      </c>
      <c r="C70" s="30">
        <v>123.9</v>
      </c>
      <c r="D70" s="30">
        <v>4.0999999999999996</v>
      </c>
      <c r="E70" s="30">
        <v>61.7</v>
      </c>
    </row>
    <row r="71" spans="1:5" x14ac:dyDescent="0.25">
      <c r="A71" s="30">
        <v>27</v>
      </c>
      <c r="B71" s="30" t="s">
        <v>80</v>
      </c>
      <c r="C71" s="30">
        <v>86.1</v>
      </c>
      <c r="D71" s="30">
        <v>15</v>
      </c>
      <c r="E71" s="30">
        <v>49</v>
      </c>
    </row>
    <row r="72" spans="1:5" x14ac:dyDescent="0.25">
      <c r="A72" s="30">
        <v>25</v>
      </c>
      <c r="B72" s="30" t="s">
        <v>81</v>
      </c>
      <c r="C72" s="30">
        <v>85</v>
      </c>
      <c r="D72" s="30">
        <v>17.3</v>
      </c>
      <c r="E72" s="30">
        <v>43.1</v>
      </c>
    </row>
    <row r="73" spans="1:5" x14ac:dyDescent="0.25">
      <c r="A73" s="30">
        <v>67</v>
      </c>
      <c r="B73" s="30" t="s">
        <v>82</v>
      </c>
      <c r="C73" s="30">
        <v>123.5</v>
      </c>
      <c r="D73" s="30">
        <v>-2.5</v>
      </c>
      <c r="E73" s="30">
        <v>60.7</v>
      </c>
    </row>
    <row r="74" spans="1:5" x14ac:dyDescent="0.25">
      <c r="A74" s="30">
        <v>49</v>
      </c>
      <c r="B74" s="30" t="s">
        <v>83</v>
      </c>
      <c r="C74" s="30">
        <v>110.8</v>
      </c>
      <c r="D74" s="30">
        <v>11</v>
      </c>
      <c r="E74" s="30">
        <v>65.8</v>
      </c>
    </row>
    <row r="75" spans="1:5" x14ac:dyDescent="0.25">
      <c r="A75" s="30">
        <v>40</v>
      </c>
      <c r="B75" s="30" t="s">
        <v>85</v>
      </c>
      <c r="C75" s="30">
        <v>101.1</v>
      </c>
      <c r="D75" s="30">
        <v>4.4000000000000004</v>
      </c>
      <c r="E75" s="30">
        <v>59.7</v>
      </c>
    </row>
    <row r="76" spans="1:5" x14ac:dyDescent="0.25">
      <c r="A76" s="30">
        <v>79</v>
      </c>
      <c r="B76" s="30" t="s">
        <v>86</v>
      </c>
      <c r="C76" s="30">
        <v>157.80000000000001</v>
      </c>
      <c r="D76" s="30">
        <v>8.6</v>
      </c>
      <c r="E76" s="30">
        <v>92.2</v>
      </c>
    </row>
    <row r="77" spans="1:5" x14ac:dyDescent="0.25">
      <c r="A77" s="30">
        <v>54</v>
      </c>
      <c r="B77" s="30" t="s">
        <v>88</v>
      </c>
      <c r="C77" s="30">
        <v>113</v>
      </c>
      <c r="D77" s="30">
        <v>2</v>
      </c>
      <c r="E77" s="30">
        <v>66.3</v>
      </c>
    </row>
    <row r="78" spans="1:5" x14ac:dyDescent="0.25">
      <c r="A78" s="30">
        <v>56</v>
      </c>
      <c r="B78" s="30" t="s">
        <v>89</v>
      </c>
      <c r="C78" s="30">
        <v>113.1</v>
      </c>
      <c r="D78" s="30">
        <v>9.6999999999999993</v>
      </c>
      <c r="E78" s="30">
        <v>66.900000000000006</v>
      </c>
    </row>
    <row r="79" spans="1:5" x14ac:dyDescent="0.25">
      <c r="A79" s="30">
        <v>24</v>
      </c>
      <c r="B79" s="30" t="s">
        <v>90</v>
      </c>
      <c r="C79" s="30">
        <v>83.8</v>
      </c>
      <c r="D79" s="30">
        <v>7.4</v>
      </c>
      <c r="E79" s="30">
        <v>57.6</v>
      </c>
    </row>
    <row r="80" spans="1:5" x14ac:dyDescent="0.25">
      <c r="A80" s="30">
        <v>75</v>
      </c>
      <c r="B80" s="30" t="s">
        <v>91</v>
      </c>
      <c r="C80" s="30">
        <v>151</v>
      </c>
      <c r="D80" s="30">
        <v>1.4</v>
      </c>
      <c r="E80" s="30">
        <v>82.8</v>
      </c>
    </row>
    <row r="81" spans="1:5" x14ac:dyDescent="0.25">
      <c r="A81" s="30">
        <v>32</v>
      </c>
      <c r="B81" s="30" t="s">
        <v>92</v>
      </c>
      <c r="C81" s="30">
        <v>94.7</v>
      </c>
      <c r="D81" s="30">
        <v>8.8000000000000007</v>
      </c>
      <c r="E81" s="30">
        <v>34.4</v>
      </c>
    </row>
    <row r="82" spans="1:5" x14ac:dyDescent="0.25">
      <c r="A82" s="30">
        <v>22</v>
      </c>
      <c r="B82" s="30" t="s">
        <v>93</v>
      </c>
      <c r="C82" s="30">
        <v>79.8</v>
      </c>
      <c r="D82" s="30">
        <v>14.4</v>
      </c>
      <c r="E82" s="30">
        <v>44.4</v>
      </c>
    </row>
    <row r="83" spans="1:5" x14ac:dyDescent="0.25">
      <c r="A83" s="30">
        <v>64</v>
      </c>
      <c r="B83" s="30" t="s">
        <v>94</v>
      </c>
      <c r="C83" s="30">
        <v>120.9</v>
      </c>
      <c r="D83" s="30">
        <v>-1</v>
      </c>
      <c r="E83" s="30">
        <v>59</v>
      </c>
    </row>
    <row r="84" spans="1:5" x14ac:dyDescent="0.25">
      <c r="A84" s="30">
        <v>18</v>
      </c>
      <c r="B84" s="30" t="s">
        <v>95</v>
      </c>
      <c r="C84" s="30">
        <v>79</v>
      </c>
      <c r="D84" s="30">
        <v>1.3</v>
      </c>
      <c r="E84" s="30">
        <v>42.9</v>
      </c>
    </row>
    <row r="85" spans="1:5" x14ac:dyDescent="0.25">
      <c r="A85" s="30">
        <v>81</v>
      </c>
      <c r="B85" s="30" t="s">
        <v>96</v>
      </c>
      <c r="C85" s="30">
        <v>174.7</v>
      </c>
      <c r="D85" s="30">
        <v>6.9</v>
      </c>
      <c r="E85" s="30">
        <v>103.7</v>
      </c>
    </row>
    <row r="86" spans="1:5" x14ac:dyDescent="0.25">
      <c r="A86" s="30">
        <v>33</v>
      </c>
      <c r="B86" s="30" t="s">
        <v>97</v>
      </c>
      <c r="C86" s="30">
        <v>96.7</v>
      </c>
      <c r="D86" s="30">
        <v>-3.2</v>
      </c>
      <c r="E86" s="30">
        <v>57.2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"/>
  <sheetViews>
    <sheetView workbookViewId="0"/>
  </sheetViews>
  <sheetFormatPr defaultRowHeight="15" x14ac:dyDescent="0.25"/>
  <cols>
    <col min="1" max="1" width="42.7109375" customWidth="1"/>
    <col min="2" max="2" width="35.7109375" customWidth="1"/>
  </cols>
  <sheetData>
    <row r="1" spans="1:2" ht="57" x14ac:dyDescent="0.25">
      <c r="A1" s="42" t="s">
        <v>1</v>
      </c>
      <c r="B1" s="41" t="s">
        <v>149</v>
      </c>
    </row>
    <row r="2" spans="1:2" x14ac:dyDescent="0.25">
      <c r="A2" s="30" t="s">
        <v>7</v>
      </c>
      <c r="B2" s="30">
        <v>131</v>
      </c>
    </row>
    <row r="3" spans="1:2" x14ac:dyDescent="0.25">
      <c r="A3" s="30" t="s">
        <v>8</v>
      </c>
      <c r="B3" s="30">
        <v>41.5</v>
      </c>
    </row>
    <row r="4" spans="1:2" x14ac:dyDescent="0.25">
      <c r="A4" s="30" t="s">
        <v>9</v>
      </c>
      <c r="B4" s="30">
        <v>56</v>
      </c>
    </row>
    <row r="5" spans="1:2" x14ac:dyDescent="0.25">
      <c r="A5" s="30" t="s">
        <v>10</v>
      </c>
      <c r="B5" s="30">
        <v>113.9</v>
      </c>
    </row>
    <row r="6" spans="1:2" x14ac:dyDescent="0.25">
      <c r="A6" s="30" t="s">
        <v>11</v>
      </c>
      <c r="B6" s="30">
        <v>13.8</v>
      </c>
    </row>
    <row r="7" spans="1:2" x14ac:dyDescent="0.25">
      <c r="A7" s="30" t="s">
        <v>12</v>
      </c>
      <c r="B7" s="30">
        <v>99.4</v>
      </c>
    </row>
    <row r="8" spans="1:2" x14ac:dyDescent="0.25">
      <c r="A8" s="30" t="s">
        <v>152</v>
      </c>
      <c r="B8" s="30">
        <v>59.8</v>
      </c>
    </row>
    <row r="9" spans="1:2" x14ac:dyDescent="0.25">
      <c r="A9" s="30" t="s">
        <v>17</v>
      </c>
      <c r="B9" s="30">
        <v>113</v>
      </c>
    </row>
    <row r="10" spans="1:2" x14ac:dyDescent="0.25">
      <c r="A10" s="30" t="s">
        <v>18</v>
      </c>
      <c r="B10" s="30">
        <v>96.8</v>
      </c>
    </row>
    <row r="11" spans="1:2" x14ac:dyDescent="0.25">
      <c r="A11" s="30" t="s">
        <v>19</v>
      </c>
      <c r="B11" s="30">
        <v>111.1</v>
      </c>
    </row>
    <row r="12" spans="1:2" x14ac:dyDescent="0.25">
      <c r="A12" s="30" t="s">
        <v>20</v>
      </c>
      <c r="B12" s="30">
        <v>185.9</v>
      </c>
    </row>
    <row r="13" spans="1:2" x14ac:dyDescent="0.25">
      <c r="A13" s="30" t="s">
        <v>21</v>
      </c>
      <c r="B13" s="30">
        <v>107.5</v>
      </c>
    </row>
    <row r="14" spans="1:2" x14ac:dyDescent="0.25">
      <c r="A14" s="30" t="s">
        <v>22</v>
      </c>
      <c r="B14" s="30">
        <v>39.799999999999997</v>
      </c>
    </row>
    <row r="15" spans="1:2" x14ac:dyDescent="0.25">
      <c r="A15" s="30" t="s">
        <v>23</v>
      </c>
      <c r="B15" s="30">
        <v>104.6</v>
      </c>
    </row>
    <row r="16" spans="1:2" x14ac:dyDescent="0.25">
      <c r="A16" s="30" t="s">
        <v>24</v>
      </c>
      <c r="B16" s="30">
        <v>103.9</v>
      </c>
    </row>
    <row r="17" spans="1:2" x14ac:dyDescent="0.25">
      <c r="A17" s="30" t="s">
        <v>25</v>
      </c>
      <c r="B17" s="30">
        <v>117.1</v>
      </c>
    </row>
    <row r="18" spans="1:2" x14ac:dyDescent="0.25">
      <c r="A18" s="30" t="s">
        <v>26</v>
      </c>
      <c r="B18" s="30">
        <v>141.5</v>
      </c>
    </row>
    <row r="19" spans="1:2" x14ac:dyDescent="0.25">
      <c r="A19" s="30" t="s">
        <v>27</v>
      </c>
      <c r="B19" s="30">
        <v>159.5</v>
      </c>
    </row>
    <row r="20" spans="1:2" x14ac:dyDescent="0.25">
      <c r="A20" s="30" t="s">
        <v>28</v>
      </c>
      <c r="B20" s="30">
        <v>57.1</v>
      </c>
    </row>
    <row r="21" spans="1:2" x14ac:dyDescent="0.25">
      <c r="A21" s="30" t="s">
        <v>29</v>
      </c>
      <c r="B21" s="30">
        <v>79</v>
      </c>
    </row>
    <row r="22" spans="1:2" x14ac:dyDescent="0.25">
      <c r="A22" s="30" t="s">
        <v>30</v>
      </c>
      <c r="B22" s="30">
        <v>112.9</v>
      </c>
    </row>
    <row r="23" spans="1:2" x14ac:dyDescent="0.25">
      <c r="A23" s="30" t="s">
        <v>31</v>
      </c>
      <c r="B23" s="30">
        <v>90.3</v>
      </c>
    </row>
    <row r="24" spans="1:2" x14ac:dyDescent="0.25">
      <c r="A24" s="30" t="s">
        <v>32</v>
      </c>
      <c r="B24" s="30">
        <v>112.3</v>
      </c>
    </row>
    <row r="25" spans="1:2" x14ac:dyDescent="0.25">
      <c r="A25" s="30" t="s">
        <v>33</v>
      </c>
      <c r="B25" s="30">
        <v>115</v>
      </c>
    </row>
    <row r="26" spans="1:2" x14ac:dyDescent="0.25">
      <c r="A26" s="30" t="s">
        <v>34</v>
      </c>
      <c r="B26" s="30">
        <v>69.599999999999994</v>
      </c>
    </row>
    <row r="27" spans="1:2" x14ac:dyDescent="0.25">
      <c r="A27" s="30" t="s">
        <v>35</v>
      </c>
      <c r="B27" s="30">
        <v>67.2</v>
      </c>
    </row>
    <row r="28" spans="1:2" x14ac:dyDescent="0.25">
      <c r="A28" s="30" t="s">
        <v>36</v>
      </c>
      <c r="B28" s="30">
        <v>315.60000000000002</v>
      </c>
    </row>
    <row r="29" spans="1:2" x14ac:dyDescent="0.25">
      <c r="A29" s="30" t="s">
        <v>37</v>
      </c>
      <c r="B29" s="30">
        <v>111.2</v>
      </c>
    </row>
    <row r="30" spans="1:2" x14ac:dyDescent="0.25">
      <c r="A30" s="30" t="s">
        <v>153</v>
      </c>
      <c r="B30" s="30">
        <v>150.4</v>
      </c>
    </row>
    <row r="31" spans="1:2" x14ac:dyDescent="0.25">
      <c r="A31" s="30" t="s">
        <v>39</v>
      </c>
      <c r="B31" s="30">
        <v>106.3</v>
      </c>
    </row>
    <row r="32" spans="1:2" x14ac:dyDescent="0.25">
      <c r="A32" s="30" t="s">
        <v>40</v>
      </c>
      <c r="B32" s="30">
        <v>79.7</v>
      </c>
    </row>
    <row r="33" spans="1:2" x14ac:dyDescent="0.25">
      <c r="A33" s="30" t="s">
        <v>41</v>
      </c>
      <c r="B33" s="30">
        <v>120.5</v>
      </c>
    </row>
    <row r="34" spans="1:2" x14ac:dyDescent="0.25">
      <c r="A34" s="30" t="s">
        <v>42</v>
      </c>
      <c r="B34" s="30">
        <v>110</v>
      </c>
    </row>
    <row r="35" spans="1:2" x14ac:dyDescent="0.25">
      <c r="A35" s="30" t="s">
        <v>43</v>
      </c>
      <c r="B35" s="30">
        <v>124.6</v>
      </c>
    </row>
    <row r="36" spans="1:2" x14ac:dyDescent="0.25">
      <c r="A36" s="30" t="s">
        <v>44</v>
      </c>
      <c r="B36" s="30">
        <v>79.5</v>
      </c>
    </row>
    <row r="37" spans="1:2" x14ac:dyDescent="0.25">
      <c r="A37" s="30" t="s">
        <v>45</v>
      </c>
      <c r="B37" s="30">
        <v>186.4</v>
      </c>
    </row>
    <row r="38" spans="1:2" x14ac:dyDescent="0.25">
      <c r="A38" s="30" t="s">
        <v>46</v>
      </c>
      <c r="B38" s="30">
        <v>78.7</v>
      </c>
    </row>
    <row r="39" spans="1:2" x14ac:dyDescent="0.25">
      <c r="A39" s="30" t="s">
        <v>47</v>
      </c>
      <c r="B39" s="30">
        <v>85.3</v>
      </c>
    </row>
    <row r="40" spans="1:2" x14ac:dyDescent="0.25">
      <c r="A40" s="30" t="s">
        <v>48</v>
      </c>
      <c r="B40" s="30">
        <v>122.6</v>
      </c>
    </row>
    <row r="41" spans="1:2" x14ac:dyDescent="0.25">
      <c r="A41" s="30" t="s">
        <v>49</v>
      </c>
      <c r="B41" s="30">
        <v>83.7</v>
      </c>
    </row>
    <row r="42" spans="1:2" x14ac:dyDescent="0.25">
      <c r="A42" s="30" t="s">
        <v>50</v>
      </c>
      <c r="B42" s="30">
        <v>129</v>
      </c>
    </row>
    <row r="43" spans="1:2" x14ac:dyDescent="0.25">
      <c r="A43" s="30" t="s">
        <v>51</v>
      </c>
      <c r="B43" s="30">
        <v>78.599999999999994</v>
      </c>
    </row>
    <row r="44" spans="1:2" x14ac:dyDescent="0.25">
      <c r="A44" s="30" t="s">
        <v>52</v>
      </c>
      <c r="B44" s="30">
        <v>99</v>
      </c>
    </row>
    <row r="45" spans="1:2" x14ac:dyDescent="0.25">
      <c r="A45" s="30" t="s">
        <v>53</v>
      </c>
      <c r="B45" s="30">
        <v>100.2</v>
      </c>
    </row>
    <row r="46" spans="1:2" x14ac:dyDescent="0.25">
      <c r="A46" s="30" t="s">
        <v>54</v>
      </c>
      <c r="B46" s="30">
        <v>78.5</v>
      </c>
    </row>
    <row r="47" spans="1:2" x14ac:dyDescent="0.25">
      <c r="A47" s="30" t="s">
        <v>55</v>
      </c>
      <c r="B47" s="30">
        <v>131.69999999999999</v>
      </c>
    </row>
    <row r="48" spans="1:2" x14ac:dyDescent="0.25">
      <c r="A48" s="30" t="s">
        <v>56</v>
      </c>
      <c r="B48" s="30">
        <v>88.3</v>
      </c>
    </row>
    <row r="49" spans="1:2" x14ac:dyDescent="0.25">
      <c r="A49" s="30" t="s">
        <v>57</v>
      </c>
      <c r="B49" s="30">
        <v>57.5</v>
      </c>
    </row>
    <row r="50" spans="1:2" x14ac:dyDescent="0.25">
      <c r="A50" s="30" t="s">
        <v>58</v>
      </c>
      <c r="B50" s="30">
        <v>198.9</v>
      </c>
    </row>
    <row r="51" spans="1:2" x14ac:dyDescent="0.25">
      <c r="A51" s="30" t="s">
        <v>59</v>
      </c>
      <c r="B51" s="30">
        <v>78.599999999999994</v>
      </c>
    </row>
    <row r="52" spans="1:2" x14ac:dyDescent="0.25">
      <c r="A52" s="30" t="s">
        <v>60</v>
      </c>
      <c r="B52" s="30">
        <v>106.7</v>
      </c>
    </row>
    <row r="53" spans="1:2" x14ac:dyDescent="0.25">
      <c r="A53" s="30" t="s">
        <v>61</v>
      </c>
      <c r="B53" s="30">
        <v>119.9</v>
      </c>
    </row>
    <row r="54" spans="1:2" x14ac:dyDescent="0.25">
      <c r="A54" s="30" t="s">
        <v>62</v>
      </c>
      <c r="B54" s="30">
        <v>49.4</v>
      </c>
    </row>
    <row r="55" spans="1:2" x14ac:dyDescent="0.25">
      <c r="A55" s="30" t="s">
        <v>63</v>
      </c>
      <c r="B55" s="30">
        <v>86.8</v>
      </c>
    </row>
    <row r="56" spans="1:2" x14ac:dyDescent="0.25">
      <c r="A56" s="30" t="s">
        <v>64</v>
      </c>
      <c r="B56" s="30">
        <v>50.6</v>
      </c>
    </row>
    <row r="57" spans="1:2" x14ac:dyDescent="0.25">
      <c r="A57" s="30" t="s">
        <v>65</v>
      </c>
      <c r="B57" s="30">
        <v>78.599999999999994</v>
      </c>
    </row>
    <row r="58" spans="1:2" x14ac:dyDescent="0.25">
      <c r="A58" s="30" t="s">
        <v>66</v>
      </c>
      <c r="B58" s="30">
        <v>99.5</v>
      </c>
    </row>
    <row r="59" spans="1:2" x14ac:dyDescent="0.25">
      <c r="A59" s="30" t="s">
        <v>68</v>
      </c>
      <c r="B59" s="30">
        <v>99.9</v>
      </c>
    </row>
    <row r="60" spans="1:2" x14ac:dyDescent="0.25">
      <c r="A60" s="30" t="s">
        <v>69</v>
      </c>
      <c r="B60" s="30">
        <v>116.3</v>
      </c>
    </row>
    <row r="61" spans="1:2" x14ac:dyDescent="0.25">
      <c r="A61" s="30" t="s">
        <v>70</v>
      </c>
      <c r="B61" s="30">
        <v>106.6</v>
      </c>
    </row>
    <row r="62" spans="1:2" x14ac:dyDescent="0.25">
      <c r="A62" s="30" t="s">
        <v>71</v>
      </c>
      <c r="B62" s="30">
        <v>88.5</v>
      </c>
    </row>
    <row r="63" spans="1:2" x14ac:dyDescent="0.25">
      <c r="A63" s="30" t="s">
        <v>72</v>
      </c>
      <c r="B63" s="30">
        <v>115.1</v>
      </c>
    </row>
    <row r="64" spans="1:2" x14ac:dyDescent="0.25">
      <c r="A64" s="30" t="s">
        <v>73</v>
      </c>
      <c r="B64" s="30">
        <v>121.3</v>
      </c>
    </row>
    <row r="65" spans="1:2" x14ac:dyDescent="0.25">
      <c r="A65" s="30" t="s">
        <v>74</v>
      </c>
      <c r="B65" s="30">
        <v>151.30000000000001</v>
      </c>
    </row>
    <row r="66" spans="1:2" x14ac:dyDescent="0.25">
      <c r="A66" s="30" t="s">
        <v>75</v>
      </c>
      <c r="B66" s="30">
        <v>156.69999999999999</v>
      </c>
    </row>
    <row r="67" spans="1:2" x14ac:dyDescent="0.25">
      <c r="A67" s="30" t="s">
        <v>76</v>
      </c>
      <c r="B67" s="30">
        <v>104.9</v>
      </c>
    </row>
    <row r="68" spans="1:2" x14ac:dyDescent="0.25">
      <c r="A68" s="30" t="s">
        <v>77</v>
      </c>
      <c r="B68" s="30">
        <v>152.80000000000001</v>
      </c>
    </row>
    <row r="69" spans="1:2" x14ac:dyDescent="0.25">
      <c r="A69" s="30" t="s">
        <v>78</v>
      </c>
      <c r="B69" s="30">
        <v>69</v>
      </c>
    </row>
    <row r="70" spans="1:2" x14ac:dyDescent="0.25">
      <c r="A70" s="30" t="s">
        <v>79</v>
      </c>
      <c r="B70" s="30">
        <v>123.9</v>
      </c>
    </row>
    <row r="71" spans="1:2" x14ac:dyDescent="0.25">
      <c r="A71" s="30" t="s">
        <v>80</v>
      </c>
      <c r="B71" s="30">
        <v>86.1</v>
      </c>
    </row>
    <row r="72" spans="1:2" x14ac:dyDescent="0.25">
      <c r="A72" s="30" t="s">
        <v>81</v>
      </c>
      <c r="B72" s="30">
        <v>85</v>
      </c>
    </row>
    <row r="73" spans="1:2" x14ac:dyDescent="0.25">
      <c r="A73" s="30" t="s">
        <v>82</v>
      </c>
      <c r="B73" s="30">
        <v>123.5</v>
      </c>
    </row>
    <row r="74" spans="1:2" x14ac:dyDescent="0.25">
      <c r="A74" s="30" t="s">
        <v>83</v>
      </c>
      <c r="B74" s="30">
        <v>110.8</v>
      </c>
    </row>
    <row r="75" spans="1:2" x14ac:dyDescent="0.25">
      <c r="A75" s="30" t="s">
        <v>85</v>
      </c>
      <c r="B75" s="30">
        <v>101.1</v>
      </c>
    </row>
    <row r="76" spans="1:2" x14ac:dyDescent="0.25">
      <c r="A76" s="30" t="s">
        <v>86</v>
      </c>
      <c r="B76" s="30">
        <v>157.80000000000001</v>
      </c>
    </row>
    <row r="77" spans="1:2" x14ac:dyDescent="0.25">
      <c r="A77" s="30" t="s">
        <v>88</v>
      </c>
      <c r="B77" s="30">
        <v>113</v>
      </c>
    </row>
    <row r="78" spans="1:2" x14ac:dyDescent="0.25">
      <c r="A78" s="30" t="s">
        <v>89</v>
      </c>
      <c r="B78" s="30">
        <v>113.1</v>
      </c>
    </row>
    <row r="79" spans="1:2" x14ac:dyDescent="0.25">
      <c r="A79" s="30" t="s">
        <v>90</v>
      </c>
      <c r="B79" s="30">
        <v>83.8</v>
      </c>
    </row>
    <row r="80" spans="1:2" x14ac:dyDescent="0.25">
      <c r="A80" s="30" t="s">
        <v>91</v>
      </c>
      <c r="B80" s="30">
        <v>151</v>
      </c>
    </row>
    <row r="81" spans="1:2" x14ac:dyDescent="0.25">
      <c r="A81" s="30" t="s">
        <v>92</v>
      </c>
      <c r="B81" s="30">
        <v>94.7</v>
      </c>
    </row>
    <row r="82" spans="1:2" x14ac:dyDescent="0.25">
      <c r="A82" s="30" t="s">
        <v>93</v>
      </c>
      <c r="B82" s="30">
        <v>79.8</v>
      </c>
    </row>
    <row r="83" spans="1:2" x14ac:dyDescent="0.25">
      <c r="A83" s="30" t="s">
        <v>94</v>
      </c>
      <c r="B83" s="30">
        <v>120.9</v>
      </c>
    </row>
    <row r="84" spans="1:2" x14ac:dyDescent="0.25">
      <c r="A84" s="30" t="s">
        <v>95</v>
      </c>
      <c r="B84" s="30">
        <v>79</v>
      </c>
    </row>
    <row r="85" spans="1:2" x14ac:dyDescent="0.25">
      <c r="A85" s="30" t="s">
        <v>96</v>
      </c>
      <c r="B85" s="30">
        <v>174.7</v>
      </c>
    </row>
    <row r="86" spans="1:2" x14ac:dyDescent="0.25">
      <c r="A86" s="30" t="s">
        <v>97</v>
      </c>
      <c r="B86" s="30">
        <v>96.7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92"/>
  <sheetViews>
    <sheetView zoomScale="66" zoomScaleNormal="66" workbookViewId="0">
      <selection activeCell="I3" sqref="I3"/>
    </sheetView>
  </sheetViews>
  <sheetFormatPr defaultColWidth="8.7109375" defaultRowHeight="15" x14ac:dyDescent="0.25"/>
  <cols>
    <col min="10" max="10" width="9.140625" customWidth="1"/>
  </cols>
  <sheetData>
    <row r="2" spans="2:11" ht="409.5" x14ac:dyDescent="0.25"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H2" s="3" t="s">
        <v>0</v>
      </c>
      <c r="I2" s="4" t="s">
        <v>1</v>
      </c>
      <c r="J2" s="3" t="s">
        <v>5</v>
      </c>
      <c r="K2" s="3" t="s">
        <v>6</v>
      </c>
    </row>
    <row r="3" spans="2:11" ht="104.25" customHeight="1" x14ac:dyDescent="0.25">
      <c r="B3" s="5">
        <v>74</v>
      </c>
      <c r="C3" s="5" t="s">
        <v>7</v>
      </c>
      <c r="D3" s="6">
        <v>133.30000000000001</v>
      </c>
      <c r="E3" s="6">
        <v>2.2000000000000002</v>
      </c>
      <c r="F3" s="6">
        <v>72.3</v>
      </c>
      <c r="H3" s="7">
        <v>79</v>
      </c>
      <c r="I3" s="7" t="s">
        <v>7</v>
      </c>
      <c r="J3" s="8">
        <v>37.200000000000003</v>
      </c>
      <c r="K3" s="8">
        <v>287.10000000000002</v>
      </c>
    </row>
    <row r="4" spans="2:11" ht="90" x14ac:dyDescent="0.25">
      <c r="B4" s="5">
        <v>2</v>
      </c>
      <c r="C4" s="5" t="s">
        <v>8</v>
      </c>
      <c r="D4" s="6">
        <v>42.5</v>
      </c>
      <c r="E4" s="6">
        <v>6.5</v>
      </c>
      <c r="F4" s="6">
        <v>28.5</v>
      </c>
      <c r="H4" s="7">
        <v>8</v>
      </c>
      <c r="I4" s="7" t="s">
        <v>8</v>
      </c>
      <c r="J4" s="8">
        <v>74.900000000000006</v>
      </c>
      <c r="K4" s="8">
        <v>3.7</v>
      </c>
    </row>
    <row r="5" spans="2:11" ht="75" x14ac:dyDescent="0.25">
      <c r="B5" s="5">
        <v>3</v>
      </c>
      <c r="C5" s="5" t="s">
        <v>9</v>
      </c>
      <c r="D5" s="6">
        <v>46.7</v>
      </c>
      <c r="E5" s="6">
        <v>-14.3</v>
      </c>
      <c r="F5" s="6">
        <v>25</v>
      </c>
      <c r="H5" s="7">
        <v>14</v>
      </c>
      <c r="I5" s="7" t="s">
        <v>9</v>
      </c>
      <c r="J5" s="8">
        <v>71.3</v>
      </c>
      <c r="K5" s="8">
        <v>1.3</v>
      </c>
    </row>
    <row r="6" spans="2:11" ht="60" x14ac:dyDescent="0.25">
      <c r="B6" s="5">
        <v>35</v>
      </c>
      <c r="C6" s="5" t="s">
        <v>10</v>
      </c>
      <c r="D6" s="6">
        <v>95.1</v>
      </c>
      <c r="E6" s="6">
        <v>-15.7</v>
      </c>
      <c r="F6" s="6">
        <v>41.9</v>
      </c>
      <c r="H6" s="7">
        <v>77</v>
      </c>
      <c r="I6" s="7" t="s">
        <v>10</v>
      </c>
      <c r="J6" s="8">
        <v>37.299999999999997</v>
      </c>
      <c r="K6" s="8">
        <v>471.7</v>
      </c>
    </row>
    <row r="7" spans="2:11" ht="60" x14ac:dyDescent="0.25">
      <c r="B7" s="5">
        <v>1</v>
      </c>
      <c r="C7" s="5" t="s">
        <v>11</v>
      </c>
      <c r="D7" s="6">
        <v>11.1</v>
      </c>
      <c r="E7" s="6">
        <v>-10.7</v>
      </c>
      <c r="F7" s="6">
        <v>5.2</v>
      </c>
      <c r="H7" s="7">
        <v>45</v>
      </c>
      <c r="I7" s="7" t="s">
        <v>11</v>
      </c>
      <c r="J7" s="8">
        <v>52.2</v>
      </c>
      <c r="K7" s="8">
        <v>651.70000000000005</v>
      </c>
    </row>
    <row r="8" spans="2:11" ht="60" x14ac:dyDescent="0.25">
      <c r="B8" s="5">
        <v>38</v>
      </c>
      <c r="C8" s="5" t="s">
        <v>12</v>
      </c>
      <c r="D8" s="6">
        <v>96.7</v>
      </c>
      <c r="E8" s="6">
        <v>2.2000000000000002</v>
      </c>
      <c r="F8" s="6">
        <v>59.3</v>
      </c>
      <c r="H8" s="7">
        <v>4</v>
      </c>
      <c r="I8" s="7" t="s">
        <v>12</v>
      </c>
      <c r="J8" s="8">
        <v>84.1</v>
      </c>
      <c r="K8" s="8">
        <v>248.6</v>
      </c>
    </row>
    <row r="9" spans="2:11" ht="60" x14ac:dyDescent="0.25">
      <c r="B9" s="5" t="s">
        <v>13</v>
      </c>
      <c r="C9" s="5" t="s">
        <v>14</v>
      </c>
      <c r="D9" s="6" t="s">
        <v>15</v>
      </c>
      <c r="E9" s="6" t="s">
        <v>15</v>
      </c>
      <c r="F9" s="6" t="s">
        <v>15</v>
      </c>
      <c r="H9" s="7" t="s">
        <v>13</v>
      </c>
      <c r="I9" s="7" t="s">
        <v>14</v>
      </c>
      <c r="J9" s="8" t="s">
        <v>15</v>
      </c>
      <c r="K9" s="8" t="s">
        <v>15</v>
      </c>
    </row>
    <row r="10" spans="2:11" ht="120" x14ac:dyDescent="0.25">
      <c r="B10" s="5">
        <v>7</v>
      </c>
      <c r="C10" s="5" t="s">
        <v>16</v>
      </c>
      <c r="D10" s="6">
        <v>53.9</v>
      </c>
      <c r="E10" s="6">
        <v>-6.2</v>
      </c>
      <c r="F10" s="6">
        <v>43.3</v>
      </c>
      <c r="H10" s="7">
        <v>2</v>
      </c>
      <c r="I10" s="7" t="s">
        <v>16</v>
      </c>
      <c r="J10" s="8">
        <v>88.4</v>
      </c>
      <c r="K10" s="8">
        <v>11.7</v>
      </c>
    </row>
    <row r="11" spans="2:11" ht="45" x14ac:dyDescent="0.25">
      <c r="B11" s="5">
        <v>52</v>
      </c>
      <c r="C11" s="5" t="s">
        <v>17</v>
      </c>
      <c r="D11" s="6">
        <v>110.7</v>
      </c>
      <c r="E11" s="6">
        <v>-0.9</v>
      </c>
      <c r="F11" s="6">
        <v>59.9</v>
      </c>
      <c r="H11" s="7">
        <v>13</v>
      </c>
      <c r="I11" s="7" t="s">
        <v>17</v>
      </c>
      <c r="J11" s="8">
        <v>71.400000000000006</v>
      </c>
      <c r="K11" s="8">
        <v>12.8</v>
      </c>
    </row>
    <row r="12" spans="2:11" ht="60" x14ac:dyDescent="0.25">
      <c r="B12" s="5">
        <v>28</v>
      </c>
      <c r="C12" s="5" t="s">
        <v>18</v>
      </c>
      <c r="D12" s="6">
        <v>88.1</v>
      </c>
      <c r="E12" s="6">
        <v>-9</v>
      </c>
      <c r="F12" s="6">
        <v>49.5</v>
      </c>
      <c r="H12" s="7">
        <v>31</v>
      </c>
      <c r="I12" s="7" t="s">
        <v>18</v>
      </c>
      <c r="J12" s="8">
        <v>59.7</v>
      </c>
      <c r="K12" s="8">
        <v>262.60000000000002</v>
      </c>
    </row>
    <row r="13" spans="2:11" ht="60" x14ac:dyDescent="0.25">
      <c r="B13" s="5">
        <v>55</v>
      </c>
      <c r="C13" s="5" t="s">
        <v>19</v>
      </c>
      <c r="D13" s="6">
        <v>112.8</v>
      </c>
      <c r="E13" s="6">
        <v>2.1</v>
      </c>
      <c r="F13" s="6">
        <v>54</v>
      </c>
      <c r="H13" s="7">
        <v>69</v>
      </c>
      <c r="I13" s="7" t="s">
        <v>19</v>
      </c>
      <c r="J13" s="8">
        <v>41.9</v>
      </c>
      <c r="K13" s="8">
        <v>269.60000000000002</v>
      </c>
    </row>
    <row r="14" spans="2:11" ht="60" x14ac:dyDescent="0.25">
      <c r="B14" s="5">
        <v>82</v>
      </c>
      <c r="C14" s="5" t="s">
        <v>20</v>
      </c>
      <c r="D14" s="6">
        <v>176.8</v>
      </c>
      <c r="E14" s="6">
        <v>-1.5</v>
      </c>
      <c r="F14" s="6">
        <v>106.2</v>
      </c>
      <c r="H14" s="7">
        <v>12</v>
      </c>
      <c r="I14" s="7" t="s">
        <v>20</v>
      </c>
      <c r="J14" s="8">
        <v>72.8</v>
      </c>
      <c r="K14" s="8">
        <v>93.2</v>
      </c>
    </row>
    <row r="15" spans="2:11" ht="60" x14ac:dyDescent="0.25">
      <c r="B15" s="5">
        <v>49</v>
      </c>
      <c r="C15" s="5" t="s">
        <v>21</v>
      </c>
      <c r="D15" s="6">
        <v>108.6</v>
      </c>
      <c r="E15" s="6">
        <v>1</v>
      </c>
      <c r="F15" s="6">
        <v>67</v>
      </c>
      <c r="H15" s="7">
        <v>41</v>
      </c>
      <c r="I15" s="7" t="s">
        <v>21</v>
      </c>
      <c r="J15" s="8">
        <v>53.9</v>
      </c>
      <c r="K15" s="8">
        <v>413.1</v>
      </c>
    </row>
    <row r="16" spans="2:11" ht="60" x14ac:dyDescent="0.25">
      <c r="B16" s="5">
        <v>5</v>
      </c>
      <c r="C16" s="5" t="s">
        <v>22</v>
      </c>
      <c r="D16" s="6">
        <v>49.4</v>
      </c>
      <c r="E16" s="6">
        <v>24.7</v>
      </c>
      <c r="F16" s="6">
        <v>24.9</v>
      </c>
      <c r="H16" s="7">
        <v>40</v>
      </c>
      <c r="I16" s="7" t="s">
        <v>22</v>
      </c>
      <c r="J16" s="8">
        <v>54.5</v>
      </c>
      <c r="K16" s="8">
        <v>25.6</v>
      </c>
    </row>
    <row r="17" spans="2:11" ht="60" x14ac:dyDescent="0.25">
      <c r="B17" s="5">
        <v>48</v>
      </c>
      <c r="C17" s="5" t="s">
        <v>23</v>
      </c>
      <c r="D17" s="6">
        <v>108.4</v>
      </c>
      <c r="E17" s="6">
        <v>3.1</v>
      </c>
      <c r="F17" s="6">
        <v>71.3</v>
      </c>
      <c r="H17" s="7">
        <v>28</v>
      </c>
      <c r="I17" s="7" t="s">
        <v>23</v>
      </c>
      <c r="J17" s="8">
        <v>60.7</v>
      </c>
      <c r="K17" s="8">
        <v>257.5</v>
      </c>
    </row>
    <row r="18" spans="2:11" ht="60" x14ac:dyDescent="0.25">
      <c r="B18" s="5">
        <v>43</v>
      </c>
      <c r="C18" s="5" t="s">
        <v>24</v>
      </c>
      <c r="D18" s="6">
        <v>104.1</v>
      </c>
      <c r="E18" s="6">
        <v>2.6</v>
      </c>
      <c r="F18" s="6">
        <v>75.7</v>
      </c>
      <c r="H18" s="7">
        <v>74</v>
      </c>
      <c r="I18" s="7" t="s">
        <v>24</v>
      </c>
      <c r="J18" s="8">
        <v>39.299999999999997</v>
      </c>
      <c r="K18" s="8">
        <v>299.2</v>
      </c>
    </row>
    <row r="19" spans="2:11" ht="60" x14ac:dyDescent="0.25">
      <c r="B19" s="5">
        <v>62</v>
      </c>
      <c r="C19" s="5" t="s">
        <v>25</v>
      </c>
      <c r="D19" s="6">
        <v>118.1</v>
      </c>
      <c r="E19" s="6">
        <v>2.7</v>
      </c>
      <c r="F19" s="6">
        <v>53.1</v>
      </c>
      <c r="H19" s="7">
        <v>19</v>
      </c>
      <c r="I19" s="7" t="s">
        <v>25</v>
      </c>
      <c r="J19" s="8">
        <v>65</v>
      </c>
      <c r="K19" s="8">
        <v>280.7</v>
      </c>
    </row>
    <row r="20" spans="2:11" ht="60" x14ac:dyDescent="0.25">
      <c r="B20" s="5">
        <v>59</v>
      </c>
      <c r="C20" s="5" t="s">
        <v>26</v>
      </c>
      <c r="D20" s="6">
        <v>116.4</v>
      </c>
      <c r="E20" s="6">
        <v>-18.2</v>
      </c>
      <c r="F20" s="6">
        <v>53</v>
      </c>
      <c r="H20" s="7">
        <v>66</v>
      </c>
      <c r="I20" s="7" t="s">
        <v>26</v>
      </c>
      <c r="J20" s="8">
        <v>43.4</v>
      </c>
      <c r="K20" s="8">
        <v>336.6</v>
      </c>
    </row>
    <row r="21" spans="2:11" ht="30" x14ac:dyDescent="0.25">
      <c r="B21" s="5">
        <v>71</v>
      </c>
      <c r="C21" s="5" t="s">
        <v>27</v>
      </c>
      <c r="D21" s="6">
        <v>125.8</v>
      </c>
      <c r="E21" s="6">
        <v>-17.5</v>
      </c>
      <c r="F21" s="6">
        <v>50.2</v>
      </c>
      <c r="H21" s="7">
        <v>9</v>
      </c>
      <c r="I21" s="7" t="s">
        <v>27</v>
      </c>
      <c r="J21" s="8">
        <v>74.8</v>
      </c>
      <c r="K21" s="8">
        <v>1213.5</v>
      </c>
    </row>
    <row r="22" spans="2:11" ht="75" x14ac:dyDescent="0.25">
      <c r="B22" s="5">
        <v>6</v>
      </c>
      <c r="C22" s="5" t="s">
        <v>28</v>
      </c>
      <c r="D22" s="6">
        <v>52.5</v>
      </c>
      <c r="E22" s="6">
        <v>-4.7</v>
      </c>
      <c r="F22" s="6">
        <v>39.5</v>
      </c>
      <c r="H22" s="7">
        <v>46</v>
      </c>
      <c r="I22" s="7" t="s">
        <v>28</v>
      </c>
      <c r="J22" s="8">
        <v>52</v>
      </c>
      <c r="K22" s="8">
        <v>129.80000000000001</v>
      </c>
    </row>
    <row r="23" spans="2:11" ht="60" x14ac:dyDescent="0.25">
      <c r="B23" s="5">
        <v>14</v>
      </c>
      <c r="C23" s="5" t="s">
        <v>29</v>
      </c>
      <c r="D23" s="6">
        <v>73.8</v>
      </c>
      <c r="E23" s="6">
        <v>-6.2</v>
      </c>
      <c r="F23" s="6">
        <v>45.5</v>
      </c>
      <c r="H23" s="7">
        <v>29</v>
      </c>
      <c r="I23" s="7" t="s">
        <v>29</v>
      </c>
      <c r="J23" s="8">
        <v>60.1</v>
      </c>
      <c r="K23" s="8">
        <v>33.200000000000003</v>
      </c>
    </row>
    <row r="24" spans="2:11" ht="60" x14ac:dyDescent="0.25">
      <c r="B24" s="5">
        <v>57</v>
      </c>
      <c r="C24" s="5" t="s">
        <v>30</v>
      </c>
      <c r="D24" s="6">
        <v>114.5</v>
      </c>
      <c r="E24" s="6">
        <v>0.9</v>
      </c>
      <c r="F24" s="6">
        <v>63.4</v>
      </c>
      <c r="H24" s="7">
        <v>64</v>
      </c>
      <c r="I24" s="7" t="s">
        <v>30</v>
      </c>
      <c r="J24" s="8">
        <v>43.5</v>
      </c>
      <c r="K24" s="8">
        <v>181.7</v>
      </c>
    </row>
    <row r="25" spans="2:11" ht="45" x14ac:dyDescent="0.25">
      <c r="B25" s="5">
        <v>31</v>
      </c>
      <c r="C25" s="5" t="s">
        <v>31</v>
      </c>
      <c r="D25" s="6">
        <v>89.6</v>
      </c>
      <c r="E25" s="6">
        <v>-0.5</v>
      </c>
      <c r="F25" s="6">
        <v>37</v>
      </c>
      <c r="H25" s="7">
        <v>16</v>
      </c>
      <c r="I25" s="7" t="s">
        <v>31</v>
      </c>
      <c r="J25" s="8">
        <v>70.7</v>
      </c>
      <c r="K25" s="8">
        <v>2542.4</v>
      </c>
    </row>
    <row r="26" spans="2:11" ht="60" x14ac:dyDescent="0.25">
      <c r="B26" s="5">
        <v>45</v>
      </c>
      <c r="C26" s="5" t="s">
        <v>32</v>
      </c>
      <c r="D26" s="6">
        <v>104.8</v>
      </c>
      <c r="E26" s="6">
        <v>-6.8</v>
      </c>
      <c r="F26" s="6">
        <v>58</v>
      </c>
      <c r="H26" s="7">
        <v>33</v>
      </c>
      <c r="I26" s="7" t="s">
        <v>32</v>
      </c>
      <c r="J26" s="8">
        <v>59</v>
      </c>
      <c r="K26" s="8">
        <v>352.1</v>
      </c>
    </row>
    <row r="27" spans="2:11" ht="60" x14ac:dyDescent="0.25">
      <c r="B27" s="5">
        <v>51</v>
      </c>
      <c r="C27" s="5" t="s">
        <v>33</v>
      </c>
      <c r="D27" s="6">
        <v>109.6</v>
      </c>
      <c r="E27" s="6">
        <v>-4.5</v>
      </c>
      <c r="F27" s="6">
        <v>84.5</v>
      </c>
      <c r="H27" s="7">
        <v>75</v>
      </c>
      <c r="I27" s="7" t="s">
        <v>33</v>
      </c>
      <c r="J27" s="8">
        <v>38.1</v>
      </c>
      <c r="K27" s="8">
        <v>284.8</v>
      </c>
    </row>
    <row r="28" spans="2:11" ht="60" x14ac:dyDescent="0.25">
      <c r="B28" s="5">
        <v>16</v>
      </c>
      <c r="C28" s="5" t="s">
        <v>34</v>
      </c>
      <c r="D28" s="6">
        <v>76.599999999999994</v>
      </c>
      <c r="E28" s="6">
        <v>11.2</v>
      </c>
      <c r="F28" s="6">
        <v>42.2</v>
      </c>
      <c r="H28" s="7">
        <v>32</v>
      </c>
      <c r="I28" s="7" t="s">
        <v>34</v>
      </c>
      <c r="J28" s="8">
        <v>59.3</v>
      </c>
      <c r="K28" s="8">
        <v>272.8</v>
      </c>
    </row>
    <row r="29" spans="2:11" ht="60" x14ac:dyDescent="0.25">
      <c r="B29" s="5">
        <v>22</v>
      </c>
      <c r="C29" s="5" t="s">
        <v>35</v>
      </c>
      <c r="D29" s="6">
        <v>82.9</v>
      </c>
      <c r="E29" s="6">
        <v>24.3</v>
      </c>
      <c r="F29" s="6">
        <v>57.9</v>
      </c>
      <c r="H29" s="7">
        <v>22</v>
      </c>
      <c r="I29" s="7" t="s">
        <v>35</v>
      </c>
      <c r="J29" s="8">
        <v>63.4</v>
      </c>
      <c r="K29" s="8">
        <v>94.6</v>
      </c>
    </row>
    <row r="30" spans="2:11" ht="45" x14ac:dyDescent="0.25">
      <c r="B30" s="5">
        <v>85</v>
      </c>
      <c r="C30" s="5" t="s">
        <v>36</v>
      </c>
      <c r="D30" s="6">
        <v>265.10000000000002</v>
      </c>
      <c r="E30" s="6">
        <v>-12.7</v>
      </c>
      <c r="F30" s="6">
        <v>88.3</v>
      </c>
      <c r="H30" s="7">
        <v>67</v>
      </c>
      <c r="I30" s="7" t="s">
        <v>36</v>
      </c>
      <c r="J30" s="8">
        <v>43.2</v>
      </c>
      <c r="K30" s="8">
        <v>22.2</v>
      </c>
    </row>
    <row r="31" spans="2:11" ht="60" x14ac:dyDescent="0.25">
      <c r="B31" s="5">
        <v>39</v>
      </c>
      <c r="C31" s="5" t="s">
        <v>37</v>
      </c>
      <c r="D31" s="6">
        <v>97</v>
      </c>
      <c r="E31" s="6">
        <v>-10.8</v>
      </c>
      <c r="F31" s="6">
        <v>45</v>
      </c>
      <c r="H31" s="7">
        <v>18</v>
      </c>
      <c r="I31" s="7" t="s">
        <v>37</v>
      </c>
      <c r="J31" s="8">
        <v>65.2</v>
      </c>
      <c r="K31" s="8">
        <v>476</v>
      </c>
    </row>
    <row r="32" spans="2:11" ht="120" x14ac:dyDescent="0.25">
      <c r="B32" s="5">
        <v>73</v>
      </c>
      <c r="C32" s="5" t="s">
        <v>38</v>
      </c>
      <c r="D32" s="6">
        <v>131.5</v>
      </c>
      <c r="E32" s="6">
        <v>-11.5</v>
      </c>
      <c r="F32" s="6">
        <v>80.900000000000006</v>
      </c>
      <c r="H32" s="7">
        <v>57</v>
      </c>
      <c r="I32" s="7" t="s">
        <v>38</v>
      </c>
      <c r="J32" s="8">
        <v>45.9</v>
      </c>
      <c r="K32" s="8">
        <v>716.9</v>
      </c>
    </row>
    <row r="33" spans="2:11" ht="75" x14ac:dyDescent="0.25">
      <c r="B33" s="5">
        <v>47</v>
      </c>
      <c r="C33" s="5" t="s">
        <v>39</v>
      </c>
      <c r="D33" s="6">
        <v>107.1</v>
      </c>
      <c r="E33" s="6">
        <v>1.8</v>
      </c>
      <c r="F33" s="6">
        <v>48.7</v>
      </c>
      <c r="H33" s="7">
        <v>60</v>
      </c>
      <c r="I33" s="7" t="s">
        <v>39</v>
      </c>
      <c r="J33" s="8">
        <v>45</v>
      </c>
      <c r="K33" s="8">
        <v>4.0999999999999996</v>
      </c>
    </row>
    <row r="34" spans="2:11" ht="60" x14ac:dyDescent="0.25">
      <c r="B34" s="5">
        <v>18</v>
      </c>
      <c r="C34" s="5" t="s">
        <v>40</v>
      </c>
      <c r="D34" s="6">
        <v>77.400000000000006</v>
      </c>
      <c r="E34" s="6">
        <v>-1.6</v>
      </c>
      <c r="F34" s="6">
        <v>46</v>
      </c>
      <c r="H34" s="7">
        <v>72</v>
      </c>
      <c r="I34" s="7" t="s">
        <v>40</v>
      </c>
      <c r="J34" s="8">
        <v>41.1</v>
      </c>
      <c r="K34" s="8">
        <v>305</v>
      </c>
    </row>
    <row r="35" spans="2:11" ht="60" x14ac:dyDescent="0.25">
      <c r="B35" s="5">
        <v>75</v>
      </c>
      <c r="C35" s="5" t="s">
        <v>41</v>
      </c>
      <c r="D35" s="6">
        <v>141.69999999999999</v>
      </c>
      <c r="E35" s="6">
        <v>18.100000000000001</v>
      </c>
      <c r="F35" s="6">
        <v>60.9</v>
      </c>
      <c r="H35" s="7">
        <v>82</v>
      </c>
      <c r="I35" s="7" t="s">
        <v>41</v>
      </c>
      <c r="J35" s="8">
        <v>30.9</v>
      </c>
      <c r="K35" s="8">
        <v>226.1</v>
      </c>
    </row>
    <row r="36" spans="2:11" ht="45" x14ac:dyDescent="0.25">
      <c r="B36" s="5">
        <v>41</v>
      </c>
      <c r="C36" s="5" t="s">
        <v>42</v>
      </c>
      <c r="D36" s="6">
        <v>98.4</v>
      </c>
      <c r="E36" s="6">
        <v>-6.2</v>
      </c>
      <c r="F36" s="6">
        <v>37.299999999999997</v>
      </c>
      <c r="H36" s="7">
        <v>71</v>
      </c>
      <c r="I36" s="7" t="s">
        <v>42</v>
      </c>
      <c r="J36" s="8">
        <v>41.2</v>
      </c>
      <c r="K36" s="8">
        <v>511.7</v>
      </c>
    </row>
    <row r="37" spans="2:11" ht="45" x14ac:dyDescent="0.25">
      <c r="B37" s="5">
        <v>67</v>
      </c>
      <c r="C37" s="5" t="s">
        <v>43</v>
      </c>
      <c r="D37" s="6">
        <v>122.9</v>
      </c>
      <c r="E37" s="6">
        <v>-2.1</v>
      </c>
      <c r="F37" s="6">
        <v>68.400000000000006</v>
      </c>
      <c r="H37" s="7">
        <v>63</v>
      </c>
      <c r="I37" s="7" t="s">
        <v>43</v>
      </c>
      <c r="J37" s="8">
        <v>44.1</v>
      </c>
      <c r="K37" s="8">
        <v>16.5</v>
      </c>
    </row>
    <row r="38" spans="2:11" ht="60" x14ac:dyDescent="0.25">
      <c r="B38" s="5">
        <v>33</v>
      </c>
      <c r="C38" s="5" t="s">
        <v>44</v>
      </c>
      <c r="D38" s="6">
        <v>92.7</v>
      </c>
      <c r="E38" s="6">
        <v>16.3</v>
      </c>
      <c r="F38" s="6">
        <v>73.099999999999994</v>
      </c>
      <c r="H38" s="7">
        <v>49</v>
      </c>
      <c r="I38" s="7" t="s">
        <v>44</v>
      </c>
      <c r="J38" s="8">
        <v>50</v>
      </c>
      <c r="K38" s="8">
        <v>48.1</v>
      </c>
    </row>
    <row r="39" spans="2:11" ht="60" x14ac:dyDescent="0.25">
      <c r="B39" s="5">
        <v>84</v>
      </c>
      <c r="C39" s="5" t="s">
        <v>45</v>
      </c>
      <c r="D39" s="6">
        <v>219.4</v>
      </c>
      <c r="E39" s="6">
        <v>19.600000000000001</v>
      </c>
      <c r="F39" s="6">
        <v>150.69999999999999</v>
      </c>
      <c r="H39" s="7">
        <v>52</v>
      </c>
      <c r="I39" s="7" t="s">
        <v>45</v>
      </c>
      <c r="J39" s="8">
        <v>47</v>
      </c>
      <c r="K39" s="8">
        <v>51.3</v>
      </c>
    </row>
    <row r="40" spans="2:11" ht="60" x14ac:dyDescent="0.25">
      <c r="B40" s="5">
        <v>10</v>
      </c>
      <c r="C40" s="5" t="s">
        <v>46</v>
      </c>
      <c r="D40" s="6">
        <v>65.599999999999994</v>
      </c>
      <c r="E40" s="6">
        <v>-16.7</v>
      </c>
      <c r="F40" s="6">
        <v>26.6</v>
      </c>
      <c r="H40" s="7">
        <v>5</v>
      </c>
      <c r="I40" s="7" t="s">
        <v>46</v>
      </c>
      <c r="J40" s="8">
        <v>82.8</v>
      </c>
      <c r="K40" s="8">
        <v>1024.5</v>
      </c>
    </row>
    <row r="41" spans="2:11" ht="60" x14ac:dyDescent="0.25">
      <c r="B41" s="5">
        <v>30</v>
      </c>
      <c r="C41" s="5" t="s">
        <v>47</v>
      </c>
      <c r="D41" s="6">
        <v>89.3</v>
      </c>
      <c r="E41" s="6">
        <v>7.7</v>
      </c>
      <c r="F41" s="6">
        <v>38.9</v>
      </c>
      <c r="H41" s="7">
        <v>10</v>
      </c>
      <c r="I41" s="7" t="s">
        <v>47</v>
      </c>
      <c r="J41" s="8">
        <v>74.2</v>
      </c>
      <c r="K41" s="8">
        <v>477.5</v>
      </c>
    </row>
    <row r="42" spans="2:11" ht="60" x14ac:dyDescent="0.25">
      <c r="B42" s="5">
        <v>60</v>
      </c>
      <c r="C42" s="5" t="s">
        <v>48</v>
      </c>
      <c r="D42" s="6">
        <v>116.8</v>
      </c>
      <c r="E42" s="6">
        <v>-4.2</v>
      </c>
      <c r="F42" s="6">
        <v>60.6</v>
      </c>
      <c r="H42" s="7">
        <v>54</v>
      </c>
      <c r="I42" s="7" t="s">
        <v>48</v>
      </c>
      <c r="J42" s="8">
        <v>46.7</v>
      </c>
      <c r="K42" s="8">
        <v>27.3</v>
      </c>
    </row>
    <row r="43" spans="2:11" ht="75" x14ac:dyDescent="0.25">
      <c r="B43" s="5">
        <v>9</v>
      </c>
      <c r="C43" s="5" t="s">
        <v>49</v>
      </c>
      <c r="D43" s="6">
        <v>65.5</v>
      </c>
      <c r="E43" s="6">
        <v>-17.600000000000001</v>
      </c>
      <c r="F43" s="6">
        <v>42.2</v>
      </c>
      <c r="H43" s="7">
        <v>17</v>
      </c>
      <c r="I43" s="7" t="s">
        <v>49</v>
      </c>
      <c r="J43" s="8">
        <v>67.099999999999994</v>
      </c>
      <c r="K43" s="8">
        <v>325.10000000000002</v>
      </c>
    </row>
    <row r="44" spans="2:11" ht="45" x14ac:dyDescent="0.25">
      <c r="B44" s="5">
        <v>77</v>
      </c>
      <c r="C44" s="5" t="s">
        <v>50</v>
      </c>
      <c r="D44" s="6">
        <v>148.5</v>
      </c>
      <c r="E44" s="6">
        <v>22.2</v>
      </c>
      <c r="F44" s="6">
        <v>94.9</v>
      </c>
      <c r="H44" s="7">
        <v>76</v>
      </c>
      <c r="I44" s="7" t="s">
        <v>50</v>
      </c>
      <c r="J44" s="8">
        <v>38</v>
      </c>
      <c r="K44" s="8">
        <v>49.9</v>
      </c>
    </row>
    <row r="45" spans="2:11" ht="60" x14ac:dyDescent="0.25">
      <c r="B45" s="5">
        <v>17</v>
      </c>
      <c r="C45" s="5" t="s">
        <v>51</v>
      </c>
      <c r="D45" s="6">
        <v>77</v>
      </c>
      <c r="E45" s="6">
        <v>-1.1000000000000001</v>
      </c>
      <c r="F45" s="6">
        <v>49.5</v>
      </c>
      <c r="H45" s="7">
        <v>7</v>
      </c>
      <c r="I45" s="7" t="s">
        <v>51</v>
      </c>
      <c r="J45" s="8">
        <v>77.099999999999994</v>
      </c>
      <c r="K45" s="8">
        <v>578.79999999999995</v>
      </c>
    </row>
    <row r="46" spans="2:11" ht="60" x14ac:dyDescent="0.25">
      <c r="B46" s="5">
        <v>64</v>
      </c>
      <c r="C46" s="5" t="s">
        <v>52</v>
      </c>
      <c r="D46" s="6">
        <v>120.5</v>
      </c>
      <c r="E46" s="6">
        <v>21.4</v>
      </c>
      <c r="F46" s="6">
        <v>91.4</v>
      </c>
      <c r="H46" s="7">
        <v>53</v>
      </c>
      <c r="I46" s="7" t="s">
        <v>52</v>
      </c>
      <c r="J46" s="8">
        <v>46.8</v>
      </c>
      <c r="K46" s="8">
        <v>312.60000000000002</v>
      </c>
    </row>
    <row r="47" spans="2:11" ht="45" x14ac:dyDescent="0.25">
      <c r="B47" s="5">
        <v>44</v>
      </c>
      <c r="C47" s="5" t="s">
        <v>53</v>
      </c>
      <c r="D47" s="6">
        <v>104.4</v>
      </c>
      <c r="E47" s="6">
        <v>6.2</v>
      </c>
      <c r="F47" s="6">
        <v>85.3</v>
      </c>
      <c r="H47" s="7">
        <v>26</v>
      </c>
      <c r="I47" s="7" t="s">
        <v>53</v>
      </c>
      <c r="J47" s="8">
        <v>61.8</v>
      </c>
      <c r="K47" s="8">
        <v>93.7</v>
      </c>
    </row>
    <row r="48" spans="2:11" ht="45" x14ac:dyDescent="0.25">
      <c r="B48" s="5">
        <v>15</v>
      </c>
      <c r="C48" s="5" t="s">
        <v>54</v>
      </c>
      <c r="D48" s="6">
        <v>74.2</v>
      </c>
      <c r="E48" s="6">
        <v>-4.4000000000000004</v>
      </c>
      <c r="F48" s="6">
        <v>44.6</v>
      </c>
      <c r="H48" s="7">
        <v>20</v>
      </c>
      <c r="I48" s="7" t="s">
        <v>54</v>
      </c>
      <c r="J48" s="8">
        <v>64.5</v>
      </c>
      <c r="K48" s="8">
        <v>146.9</v>
      </c>
    </row>
    <row r="49" spans="2:11" ht="60" x14ac:dyDescent="0.25">
      <c r="B49" s="5">
        <v>76</v>
      </c>
      <c r="C49" s="5" t="s">
        <v>55</v>
      </c>
      <c r="D49" s="6">
        <v>143.19999999999999</v>
      </c>
      <c r="E49" s="6">
        <v>10</v>
      </c>
      <c r="F49" s="6">
        <v>84.1</v>
      </c>
      <c r="H49" s="7">
        <v>27</v>
      </c>
      <c r="I49" s="7" t="s">
        <v>55</v>
      </c>
      <c r="J49" s="8">
        <v>61.4</v>
      </c>
      <c r="K49" s="8">
        <v>279</v>
      </c>
    </row>
    <row r="50" spans="2:11" ht="60" x14ac:dyDescent="0.25">
      <c r="B50" s="5">
        <v>24</v>
      </c>
      <c r="C50" s="5" t="s">
        <v>56</v>
      </c>
      <c r="D50" s="6">
        <v>85.3</v>
      </c>
      <c r="E50" s="6">
        <v>-3.2</v>
      </c>
      <c r="F50" s="6">
        <v>56.3</v>
      </c>
      <c r="H50" s="7">
        <v>48</v>
      </c>
      <c r="I50" s="7" t="s">
        <v>56</v>
      </c>
      <c r="J50" s="8">
        <v>50.9</v>
      </c>
      <c r="K50" s="8">
        <v>409.4</v>
      </c>
    </row>
    <row r="51" spans="2:11" ht="75" x14ac:dyDescent="0.25">
      <c r="B51" s="5">
        <v>8</v>
      </c>
      <c r="C51" s="5" t="s">
        <v>57</v>
      </c>
      <c r="D51" s="6">
        <v>54.2</v>
      </c>
      <c r="E51" s="6">
        <v>-2</v>
      </c>
      <c r="F51" s="6">
        <v>44.3</v>
      </c>
      <c r="H51" s="7">
        <v>43</v>
      </c>
      <c r="I51" s="7" t="s">
        <v>57</v>
      </c>
      <c r="J51" s="8">
        <v>53.3</v>
      </c>
      <c r="K51" s="8">
        <v>164.6</v>
      </c>
    </row>
    <row r="52" spans="2:11" ht="60" x14ac:dyDescent="0.25">
      <c r="B52" s="5">
        <v>83</v>
      </c>
      <c r="C52" s="5" t="s">
        <v>58</v>
      </c>
      <c r="D52" s="6">
        <v>188.8</v>
      </c>
      <c r="E52" s="6">
        <v>-5.7</v>
      </c>
      <c r="F52" s="6">
        <v>82.9</v>
      </c>
      <c r="H52" s="7">
        <v>59</v>
      </c>
      <c r="I52" s="7" t="s">
        <v>58</v>
      </c>
      <c r="J52" s="8">
        <v>45.1</v>
      </c>
      <c r="K52" s="8">
        <v>100.2</v>
      </c>
    </row>
    <row r="53" spans="2:11" ht="75" x14ac:dyDescent="0.25">
      <c r="B53" s="5">
        <v>29</v>
      </c>
      <c r="C53" s="5" t="s">
        <v>59</v>
      </c>
      <c r="D53" s="6">
        <v>88.9</v>
      </c>
      <c r="E53" s="6">
        <v>13.5</v>
      </c>
      <c r="F53" s="6">
        <v>50.5</v>
      </c>
      <c r="H53" s="7">
        <v>43</v>
      </c>
      <c r="I53" s="7" t="s">
        <v>59</v>
      </c>
      <c r="J53" s="8">
        <v>53.3</v>
      </c>
      <c r="K53" s="8">
        <v>113</v>
      </c>
    </row>
    <row r="54" spans="2:11" ht="75" x14ac:dyDescent="0.25">
      <c r="B54" s="5">
        <v>50</v>
      </c>
      <c r="C54" s="5" t="s">
        <v>60</v>
      </c>
      <c r="D54" s="6">
        <v>109.1</v>
      </c>
      <c r="E54" s="6">
        <v>2.9</v>
      </c>
      <c r="F54" s="6">
        <v>66.099999999999994</v>
      </c>
      <c r="H54" s="7">
        <v>39</v>
      </c>
      <c r="I54" s="7" t="s">
        <v>60</v>
      </c>
      <c r="J54" s="8">
        <v>56.1</v>
      </c>
      <c r="K54" s="8">
        <v>200.8</v>
      </c>
    </row>
    <row r="55" spans="2:11" ht="75" x14ac:dyDescent="0.25">
      <c r="B55" s="5">
        <v>63</v>
      </c>
      <c r="C55" s="5" t="s">
        <v>61</v>
      </c>
      <c r="D55" s="6">
        <v>120.3</v>
      </c>
      <c r="E55" s="6">
        <v>0.7</v>
      </c>
      <c r="F55" s="6">
        <v>80.2</v>
      </c>
      <c r="H55" s="7">
        <v>61</v>
      </c>
      <c r="I55" s="7" t="s">
        <v>61</v>
      </c>
      <c r="J55" s="8">
        <v>44.9</v>
      </c>
      <c r="K55" s="8">
        <v>314.60000000000002</v>
      </c>
    </row>
    <row r="56" spans="2:11" ht="75" x14ac:dyDescent="0.25">
      <c r="B56" s="5">
        <v>12</v>
      </c>
      <c r="C56" s="5" t="s">
        <v>62</v>
      </c>
      <c r="D56" s="6">
        <v>66.7</v>
      </c>
      <c r="E56" s="6">
        <v>37.5</v>
      </c>
      <c r="F56" s="6">
        <v>28.4</v>
      </c>
      <c r="H56" s="7">
        <v>24</v>
      </c>
      <c r="I56" s="7" t="s">
        <v>62</v>
      </c>
      <c r="J56" s="8">
        <v>62.6</v>
      </c>
      <c r="K56" s="8">
        <v>1.9</v>
      </c>
    </row>
    <row r="57" spans="2:11" ht="60" x14ac:dyDescent="0.25">
      <c r="B57" s="5">
        <v>19</v>
      </c>
      <c r="C57" s="5" t="s">
        <v>63</v>
      </c>
      <c r="D57" s="6">
        <v>81.599999999999994</v>
      </c>
      <c r="E57" s="6">
        <v>-2.7</v>
      </c>
      <c r="F57" s="6">
        <v>56.8</v>
      </c>
      <c r="H57" s="7">
        <v>35</v>
      </c>
      <c r="I57" s="7" t="s">
        <v>63</v>
      </c>
      <c r="J57" s="8">
        <v>57.5</v>
      </c>
      <c r="K57" s="8">
        <v>24.2</v>
      </c>
    </row>
    <row r="58" spans="2:11" ht="60" x14ac:dyDescent="0.25">
      <c r="B58" s="5">
        <v>4</v>
      </c>
      <c r="C58" s="5" t="s">
        <v>64</v>
      </c>
      <c r="D58" s="6">
        <v>49.2</v>
      </c>
      <c r="E58" s="6">
        <v>-1.8</v>
      </c>
      <c r="F58" s="6">
        <v>24.6</v>
      </c>
      <c r="H58" s="7">
        <v>11</v>
      </c>
      <c r="I58" s="7" t="s">
        <v>64</v>
      </c>
      <c r="J58" s="8">
        <v>73.900000000000006</v>
      </c>
      <c r="K58" s="8">
        <v>848.8</v>
      </c>
    </row>
    <row r="59" spans="2:11" ht="30" x14ac:dyDescent="0.25">
      <c r="B59" s="5">
        <v>21</v>
      </c>
      <c r="C59" s="5" t="s">
        <v>65</v>
      </c>
      <c r="D59" s="6">
        <v>82.5</v>
      </c>
      <c r="E59" s="6">
        <v>7.8</v>
      </c>
      <c r="F59" s="6">
        <v>34</v>
      </c>
      <c r="H59" s="7">
        <v>1</v>
      </c>
      <c r="I59" s="7" t="s">
        <v>65</v>
      </c>
      <c r="J59" s="8">
        <v>97.6</v>
      </c>
      <c r="K59" s="8">
        <v>2521.6</v>
      </c>
    </row>
    <row r="60" spans="2:11" ht="60" x14ac:dyDescent="0.25">
      <c r="B60" s="5">
        <v>32</v>
      </c>
      <c r="C60" s="5" t="s">
        <v>66</v>
      </c>
      <c r="D60" s="6">
        <v>89.9</v>
      </c>
      <c r="E60" s="6">
        <v>-9.1999999999999993</v>
      </c>
      <c r="F60" s="6">
        <v>78</v>
      </c>
      <c r="H60" s="7">
        <v>77</v>
      </c>
      <c r="I60" s="7" t="s">
        <v>66</v>
      </c>
      <c r="J60" s="8">
        <v>37.299999999999997</v>
      </c>
      <c r="K60" s="8">
        <v>5.6</v>
      </c>
    </row>
    <row r="61" spans="2:11" ht="90" x14ac:dyDescent="0.25">
      <c r="B61" s="5" t="s">
        <v>13</v>
      </c>
      <c r="C61" s="5" t="s">
        <v>67</v>
      </c>
      <c r="D61" s="6" t="s">
        <v>15</v>
      </c>
      <c r="E61" s="6" t="s">
        <v>15</v>
      </c>
      <c r="F61" s="6" t="s">
        <v>15</v>
      </c>
      <c r="H61" s="7" t="s">
        <v>13</v>
      </c>
      <c r="I61" s="7" t="s">
        <v>67</v>
      </c>
      <c r="J61" s="8" t="s">
        <v>15</v>
      </c>
      <c r="K61" s="8" t="s">
        <v>15</v>
      </c>
    </row>
    <row r="62" spans="2:11" ht="60" x14ac:dyDescent="0.25">
      <c r="B62" s="5">
        <v>23</v>
      </c>
      <c r="C62" s="5" t="s">
        <v>68</v>
      </c>
      <c r="D62" s="6">
        <v>83.8</v>
      </c>
      <c r="E62" s="6">
        <v>-12.6</v>
      </c>
      <c r="F62" s="6">
        <v>62.4</v>
      </c>
      <c r="H62" s="7">
        <v>23</v>
      </c>
      <c r="I62" s="7" t="s">
        <v>68</v>
      </c>
      <c r="J62" s="8">
        <v>62.8</v>
      </c>
      <c r="K62" s="8">
        <v>567.4</v>
      </c>
    </row>
    <row r="63" spans="2:11" ht="75" x14ac:dyDescent="0.25">
      <c r="B63" s="5">
        <v>42</v>
      </c>
      <c r="C63" s="5" t="s">
        <v>69</v>
      </c>
      <c r="D63" s="6">
        <v>99.1</v>
      </c>
      <c r="E63" s="6">
        <v>-14.9</v>
      </c>
      <c r="F63" s="6">
        <v>48.1</v>
      </c>
      <c r="H63" s="7">
        <v>34</v>
      </c>
      <c r="I63" s="7" t="s">
        <v>69</v>
      </c>
      <c r="J63" s="8">
        <v>58.7</v>
      </c>
      <c r="K63" s="8">
        <v>221.7</v>
      </c>
    </row>
    <row r="64" spans="2:11" ht="60" x14ac:dyDescent="0.25">
      <c r="B64" s="5">
        <v>69</v>
      </c>
      <c r="C64" s="5" t="s">
        <v>70</v>
      </c>
      <c r="D64" s="6">
        <v>123.1</v>
      </c>
      <c r="E64" s="6">
        <v>16.399999999999999</v>
      </c>
      <c r="F64" s="6">
        <v>69.400000000000006</v>
      </c>
      <c r="H64" s="7">
        <v>55</v>
      </c>
      <c r="I64" s="7" t="s">
        <v>70</v>
      </c>
      <c r="J64" s="8">
        <v>46.5</v>
      </c>
      <c r="K64" s="8">
        <v>384.3</v>
      </c>
    </row>
    <row r="65" spans="2:11" ht="60" x14ac:dyDescent="0.25">
      <c r="B65" s="5">
        <v>25</v>
      </c>
      <c r="C65" s="5" t="s">
        <v>71</v>
      </c>
      <c r="D65" s="6">
        <v>85.8</v>
      </c>
      <c r="E65" s="6">
        <v>-3.5</v>
      </c>
      <c r="F65" s="6">
        <v>57.4</v>
      </c>
      <c r="H65" s="7">
        <v>37</v>
      </c>
      <c r="I65" s="7" t="s">
        <v>71</v>
      </c>
      <c r="J65" s="8">
        <v>57.2</v>
      </c>
      <c r="K65" s="8">
        <v>136.80000000000001</v>
      </c>
    </row>
    <row r="66" spans="2:11" ht="45" x14ac:dyDescent="0.25">
      <c r="B66" s="5">
        <v>53</v>
      </c>
      <c r="C66" s="5" t="s">
        <v>72</v>
      </c>
      <c r="D66" s="6">
        <v>111.1</v>
      </c>
      <c r="E66" s="6">
        <v>4.9000000000000004</v>
      </c>
      <c r="F66" s="6">
        <v>57.4</v>
      </c>
      <c r="H66" s="7">
        <v>21</v>
      </c>
      <c r="I66" s="7" t="s">
        <v>72</v>
      </c>
      <c r="J66" s="8">
        <v>64</v>
      </c>
      <c r="K66" s="8">
        <v>11.7</v>
      </c>
    </row>
    <row r="67" spans="2:11" ht="45" x14ac:dyDescent="0.25">
      <c r="B67" s="5">
        <v>70</v>
      </c>
      <c r="C67" s="5" t="s">
        <v>73</v>
      </c>
      <c r="D67" s="6">
        <v>124.1</v>
      </c>
      <c r="E67" s="6">
        <v>3.1</v>
      </c>
      <c r="F67" s="6">
        <v>61.3</v>
      </c>
      <c r="H67" s="7">
        <v>3</v>
      </c>
      <c r="I67" s="7" t="s">
        <v>73</v>
      </c>
      <c r="J67" s="8">
        <v>84.4</v>
      </c>
      <c r="K67" s="8">
        <v>481</v>
      </c>
    </row>
    <row r="68" spans="2:11" ht="60" x14ac:dyDescent="0.25">
      <c r="B68" s="5">
        <v>81</v>
      </c>
      <c r="C68" s="5" t="s">
        <v>74</v>
      </c>
      <c r="D68" s="6">
        <v>171.2</v>
      </c>
      <c r="E68" s="6">
        <v>13.5</v>
      </c>
      <c r="F68" s="6">
        <v>91.5</v>
      </c>
      <c r="H68" s="7">
        <v>51</v>
      </c>
      <c r="I68" s="7" t="s">
        <v>74</v>
      </c>
      <c r="J68" s="8">
        <v>48.3</v>
      </c>
      <c r="K68" s="8">
        <v>139.30000000000001</v>
      </c>
    </row>
    <row r="69" spans="2:11" ht="60" x14ac:dyDescent="0.25">
      <c r="B69" s="5">
        <v>79</v>
      </c>
      <c r="C69" s="5" t="s">
        <v>75</v>
      </c>
      <c r="D69" s="6">
        <v>166.4</v>
      </c>
      <c r="E69" s="6">
        <v>6.7</v>
      </c>
      <c r="F69" s="6">
        <v>79.5</v>
      </c>
      <c r="H69" s="7">
        <v>84</v>
      </c>
      <c r="I69" s="7" t="s">
        <v>75</v>
      </c>
      <c r="J69" s="8">
        <v>26.3</v>
      </c>
      <c r="K69" s="8">
        <v>115.8</v>
      </c>
    </row>
    <row r="70" spans="2:11" ht="60" x14ac:dyDescent="0.25">
      <c r="B70" s="5">
        <v>34</v>
      </c>
      <c r="C70" s="5" t="s">
        <v>76</v>
      </c>
      <c r="D70" s="6">
        <v>93</v>
      </c>
      <c r="E70" s="6">
        <v>-6.4</v>
      </c>
      <c r="F70" s="6">
        <v>58.9</v>
      </c>
      <c r="H70" s="7">
        <v>15</v>
      </c>
      <c r="I70" s="7" t="s">
        <v>76</v>
      </c>
      <c r="J70" s="8">
        <v>71.2</v>
      </c>
      <c r="K70" s="8">
        <v>183.1</v>
      </c>
    </row>
    <row r="71" spans="2:11" ht="90" x14ac:dyDescent="0.25">
      <c r="B71" s="5">
        <v>66</v>
      </c>
      <c r="C71" s="5" t="s">
        <v>77</v>
      </c>
      <c r="D71" s="6">
        <v>122.8</v>
      </c>
      <c r="E71" s="6">
        <v>-18.600000000000001</v>
      </c>
      <c r="F71" s="6">
        <v>50.2</v>
      </c>
      <c r="H71" s="7">
        <v>58</v>
      </c>
      <c r="I71" s="7" t="s">
        <v>77</v>
      </c>
      <c r="J71" s="8">
        <v>45.4</v>
      </c>
      <c r="K71" s="8">
        <v>363.3</v>
      </c>
    </row>
    <row r="72" spans="2:11" ht="45" x14ac:dyDescent="0.25">
      <c r="B72" s="5">
        <v>27</v>
      </c>
      <c r="C72" s="5" t="s">
        <v>78</v>
      </c>
      <c r="D72" s="6">
        <v>87.2</v>
      </c>
      <c r="E72" s="6">
        <v>28.4</v>
      </c>
      <c r="F72" s="6">
        <v>81</v>
      </c>
      <c r="H72" s="7">
        <v>42</v>
      </c>
      <c r="I72" s="7" t="s">
        <v>78</v>
      </c>
      <c r="J72" s="8">
        <v>53.4</v>
      </c>
      <c r="K72" s="8">
        <v>4.4000000000000004</v>
      </c>
    </row>
    <row r="73" spans="2:11" ht="60" x14ac:dyDescent="0.25">
      <c r="B73" s="5">
        <v>72</v>
      </c>
      <c r="C73" s="5" t="s">
        <v>79</v>
      </c>
      <c r="D73" s="6">
        <v>127.1</v>
      </c>
      <c r="E73" s="6">
        <v>1.3</v>
      </c>
      <c r="F73" s="6">
        <v>62</v>
      </c>
      <c r="H73" s="7">
        <v>47</v>
      </c>
      <c r="I73" s="7" t="s">
        <v>79</v>
      </c>
      <c r="J73" s="8">
        <v>51.4</v>
      </c>
      <c r="K73" s="8">
        <v>365.4</v>
      </c>
    </row>
    <row r="74" spans="2:11" ht="75" x14ac:dyDescent="0.25">
      <c r="B74" s="5">
        <v>37</v>
      </c>
      <c r="C74" s="5" t="s">
        <v>80</v>
      </c>
      <c r="D74" s="6">
        <v>95.5</v>
      </c>
      <c r="E74" s="6">
        <v>19.899999999999999</v>
      </c>
      <c r="F74" s="6">
        <v>59.8</v>
      </c>
      <c r="H74" s="7">
        <v>30</v>
      </c>
      <c r="I74" s="7" t="s">
        <v>80</v>
      </c>
      <c r="J74" s="8">
        <v>59.8</v>
      </c>
      <c r="K74" s="8">
        <v>518.9</v>
      </c>
    </row>
    <row r="75" spans="2:11" ht="90" x14ac:dyDescent="0.25">
      <c r="B75" s="5">
        <v>36</v>
      </c>
      <c r="C75" s="5" t="s">
        <v>81</v>
      </c>
      <c r="D75" s="6">
        <v>95.1</v>
      </c>
      <c r="E75" s="6">
        <v>13.2</v>
      </c>
      <c r="F75" s="6">
        <v>44.2</v>
      </c>
      <c r="H75" s="7">
        <v>25</v>
      </c>
      <c r="I75" s="7" t="s">
        <v>81</v>
      </c>
      <c r="J75" s="8">
        <v>62.4</v>
      </c>
      <c r="K75" s="8">
        <v>665.7</v>
      </c>
    </row>
    <row r="76" spans="2:11" ht="60" x14ac:dyDescent="0.25">
      <c r="B76" s="5">
        <v>61</v>
      </c>
      <c r="C76" s="5" t="s">
        <v>82</v>
      </c>
      <c r="D76" s="6">
        <v>117</v>
      </c>
      <c r="E76" s="6">
        <v>-4.9000000000000004</v>
      </c>
      <c r="F76" s="6">
        <v>54.8</v>
      </c>
      <c r="H76" s="7">
        <v>62</v>
      </c>
      <c r="I76" s="7" t="s">
        <v>82</v>
      </c>
      <c r="J76" s="8">
        <v>44.6</v>
      </c>
      <c r="K76" s="8">
        <v>33</v>
      </c>
    </row>
    <row r="77" spans="2:11" ht="60" x14ac:dyDescent="0.25">
      <c r="B77" s="5">
        <v>56</v>
      </c>
      <c r="C77" s="5" t="s">
        <v>83</v>
      </c>
      <c r="D77" s="6">
        <v>113.7</v>
      </c>
      <c r="E77" s="6">
        <v>5.8</v>
      </c>
      <c r="F77" s="6">
        <v>72.3</v>
      </c>
      <c r="H77" s="7">
        <v>36</v>
      </c>
      <c r="I77" s="7" t="s">
        <v>83</v>
      </c>
      <c r="J77" s="8">
        <v>57.3</v>
      </c>
      <c r="K77" s="8">
        <v>338.4</v>
      </c>
    </row>
    <row r="78" spans="2:11" ht="60" x14ac:dyDescent="0.25">
      <c r="B78" s="5" t="s">
        <v>13</v>
      </c>
      <c r="C78" s="5" t="s">
        <v>84</v>
      </c>
      <c r="D78" s="6" t="s">
        <v>15</v>
      </c>
      <c r="E78" s="6" t="s">
        <v>15</v>
      </c>
      <c r="F78" s="6" t="s">
        <v>15</v>
      </c>
      <c r="H78" s="7" t="s">
        <v>13</v>
      </c>
      <c r="I78" s="7" t="s">
        <v>84</v>
      </c>
      <c r="J78" s="8" t="s">
        <v>15</v>
      </c>
      <c r="K78" s="8" t="s">
        <v>15</v>
      </c>
    </row>
    <row r="79" spans="2:11" ht="45" x14ac:dyDescent="0.25">
      <c r="B79" s="5">
        <v>40</v>
      </c>
      <c r="C79" s="5" t="s">
        <v>85</v>
      </c>
      <c r="D79" s="6">
        <v>97.9</v>
      </c>
      <c r="E79" s="6">
        <v>-2.6</v>
      </c>
      <c r="F79" s="6">
        <v>53.7</v>
      </c>
      <c r="H79" s="7">
        <v>56</v>
      </c>
      <c r="I79" s="7" t="s">
        <v>85</v>
      </c>
      <c r="J79" s="8">
        <v>46.1</v>
      </c>
      <c r="K79" s="8">
        <v>34.9</v>
      </c>
    </row>
    <row r="80" spans="2:11" ht="90" x14ac:dyDescent="0.25">
      <c r="B80" s="5">
        <v>68</v>
      </c>
      <c r="C80" s="5" t="s">
        <v>86</v>
      </c>
      <c r="D80" s="6">
        <v>123.1</v>
      </c>
      <c r="E80" s="6">
        <v>-18.2</v>
      </c>
      <c r="F80" s="6">
        <v>67.2</v>
      </c>
      <c r="H80" s="7">
        <v>70</v>
      </c>
      <c r="I80" s="7" t="s">
        <v>86</v>
      </c>
      <c r="J80" s="8">
        <v>41.4</v>
      </c>
      <c r="K80" s="8">
        <v>71.2</v>
      </c>
    </row>
    <row r="81" spans="2:11" ht="90" x14ac:dyDescent="0.25">
      <c r="B81" s="5" t="s">
        <v>13</v>
      </c>
      <c r="C81" s="5" t="s">
        <v>87</v>
      </c>
      <c r="D81" s="6" t="s">
        <v>15</v>
      </c>
      <c r="E81" s="6" t="s">
        <v>15</v>
      </c>
      <c r="F81" s="6" t="s">
        <v>15</v>
      </c>
      <c r="H81" s="7" t="s">
        <v>13</v>
      </c>
      <c r="I81" s="7" t="s">
        <v>87</v>
      </c>
      <c r="J81" s="8" t="s">
        <v>15</v>
      </c>
      <c r="K81" s="8" t="s">
        <v>15</v>
      </c>
    </row>
    <row r="82" spans="2:11" ht="60" x14ac:dyDescent="0.25">
      <c r="B82" s="5">
        <v>54</v>
      </c>
      <c r="C82" s="5" t="s">
        <v>88</v>
      </c>
      <c r="D82" s="6">
        <v>111.7</v>
      </c>
      <c r="E82" s="6">
        <v>-0.4</v>
      </c>
      <c r="F82" s="6">
        <v>68.7</v>
      </c>
      <c r="H82" s="7">
        <v>38</v>
      </c>
      <c r="I82" s="7" t="s">
        <v>88</v>
      </c>
      <c r="J82" s="8">
        <v>56.7</v>
      </c>
      <c r="K82" s="8">
        <v>429.3</v>
      </c>
    </row>
    <row r="83" spans="2:11" ht="60" x14ac:dyDescent="0.25">
      <c r="B83" s="5">
        <v>58</v>
      </c>
      <c r="C83" s="5" t="s">
        <v>89</v>
      </c>
      <c r="D83" s="6">
        <v>115.5</v>
      </c>
      <c r="E83" s="6">
        <v>2.8</v>
      </c>
      <c r="F83" s="6">
        <v>66.599999999999994</v>
      </c>
      <c r="H83" s="7">
        <v>68</v>
      </c>
      <c r="I83" s="7" t="s">
        <v>89</v>
      </c>
      <c r="J83" s="8">
        <v>42.9</v>
      </c>
      <c r="K83" s="8">
        <v>110.7</v>
      </c>
    </row>
    <row r="84" spans="2:11" ht="75" x14ac:dyDescent="0.25">
      <c r="B84" s="5">
        <v>26</v>
      </c>
      <c r="C84" s="5" t="s">
        <v>90</v>
      </c>
      <c r="D84" s="6">
        <v>86.3</v>
      </c>
      <c r="E84" s="6">
        <v>3.1</v>
      </c>
      <c r="F84" s="6">
        <v>58.1</v>
      </c>
      <c r="H84" s="7">
        <v>83</v>
      </c>
      <c r="I84" s="7" t="s">
        <v>90</v>
      </c>
      <c r="J84" s="8">
        <v>29.7</v>
      </c>
      <c r="K84" s="8">
        <v>153.4</v>
      </c>
    </row>
    <row r="85" spans="2:11" ht="75" x14ac:dyDescent="0.25">
      <c r="B85" s="5">
        <v>78</v>
      </c>
      <c r="C85" s="5" t="s">
        <v>91</v>
      </c>
      <c r="D85" s="6">
        <v>160.4</v>
      </c>
      <c r="E85" s="6">
        <v>5.3</v>
      </c>
      <c r="F85" s="6">
        <v>84.5</v>
      </c>
      <c r="H85" s="7">
        <v>64</v>
      </c>
      <c r="I85" s="7" t="s">
        <v>91</v>
      </c>
      <c r="J85" s="8">
        <v>43.5</v>
      </c>
      <c r="K85" s="8">
        <v>394.2</v>
      </c>
    </row>
    <row r="86" spans="2:11" ht="60" x14ac:dyDescent="0.25">
      <c r="B86" s="5">
        <v>11</v>
      </c>
      <c r="C86" s="5" t="s">
        <v>92</v>
      </c>
      <c r="D86" s="6">
        <v>65.7</v>
      </c>
      <c r="E86" s="6">
        <v>-30.3</v>
      </c>
      <c r="F86" s="6">
        <v>23.8</v>
      </c>
      <c r="H86" s="7">
        <v>50</v>
      </c>
      <c r="I86" s="7" t="s">
        <v>92</v>
      </c>
      <c r="J86" s="8">
        <v>49.4</v>
      </c>
      <c r="K86" s="8">
        <v>331.2</v>
      </c>
    </row>
    <row r="87" spans="2:11" ht="60" x14ac:dyDescent="0.25">
      <c r="B87" s="5">
        <v>20</v>
      </c>
      <c r="C87" s="5" t="s">
        <v>93</v>
      </c>
      <c r="D87" s="6">
        <v>82.2</v>
      </c>
      <c r="E87" s="6">
        <v>3.3</v>
      </c>
      <c r="F87" s="6">
        <v>51.6</v>
      </c>
      <c r="H87" s="7">
        <v>6</v>
      </c>
      <c r="I87" s="7" t="s">
        <v>93</v>
      </c>
      <c r="J87" s="8">
        <v>77.3</v>
      </c>
      <c r="K87" s="8">
        <v>732</v>
      </c>
    </row>
    <row r="88" spans="2:11" ht="60" x14ac:dyDescent="0.25">
      <c r="B88" s="5">
        <v>65</v>
      </c>
      <c r="C88" s="5" t="s">
        <v>94</v>
      </c>
      <c r="D88" s="6">
        <v>122.4</v>
      </c>
      <c r="E88" s="6">
        <v>1.7</v>
      </c>
      <c r="F88" s="6">
        <v>57.6</v>
      </c>
      <c r="H88" s="7">
        <v>73</v>
      </c>
      <c r="I88" s="7" t="s">
        <v>94</v>
      </c>
      <c r="J88" s="8">
        <v>39.9</v>
      </c>
      <c r="K88" s="8">
        <v>84.8</v>
      </c>
    </row>
    <row r="89" spans="2:11" ht="75" x14ac:dyDescent="0.25">
      <c r="B89" s="5">
        <v>13</v>
      </c>
      <c r="C89" s="5" t="s">
        <v>95</v>
      </c>
      <c r="D89" s="6">
        <v>67.099999999999994</v>
      </c>
      <c r="E89" s="6">
        <v>-15.6</v>
      </c>
      <c r="F89" s="6">
        <v>36.700000000000003</v>
      </c>
      <c r="H89" s="7">
        <v>85</v>
      </c>
      <c r="I89" s="7" t="s">
        <v>95</v>
      </c>
      <c r="J89" s="8">
        <v>15.7</v>
      </c>
      <c r="K89" s="8">
        <v>29.6</v>
      </c>
    </row>
    <row r="90" spans="2:11" ht="60" x14ac:dyDescent="0.25">
      <c r="B90" s="5">
        <v>80</v>
      </c>
      <c r="C90" s="5" t="s">
        <v>96</v>
      </c>
      <c r="D90" s="6">
        <v>166.8</v>
      </c>
      <c r="E90" s="6">
        <v>-2.7</v>
      </c>
      <c r="F90" s="6">
        <v>98.9</v>
      </c>
      <c r="H90" s="7">
        <v>81</v>
      </c>
      <c r="I90" s="7" t="s">
        <v>96</v>
      </c>
      <c r="J90" s="8">
        <v>33.5</v>
      </c>
      <c r="K90" s="8">
        <v>37.200000000000003</v>
      </c>
    </row>
    <row r="91" spans="2:11" ht="45" x14ac:dyDescent="0.25">
      <c r="B91" s="5">
        <v>46</v>
      </c>
      <c r="C91" s="5" t="s">
        <v>97</v>
      </c>
      <c r="D91" s="6">
        <v>105.4</v>
      </c>
      <c r="E91" s="6">
        <v>9.1</v>
      </c>
      <c r="F91" s="6">
        <v>65.7</v>
      </c>
      <c r="H91" s="7">
        <v>80</v>
      </c>
      <c r="I91" s="7" t="s">
        <v>97</v>
      </c>
      <c r="J91" s="8">
        <v>36.299999999999997</v>
      </c>
      <c r="K91" s="8">
        <v>199.8</v>
      </c>
    </row>
    <row r="92" spans="2:11" ht="60" x14ac:dyDescent="0.25">
      <c r="B92" s="9"/>
      <c r="C92" s="10" t="s">
        <v>98</v>
      </c>
      <c r="D92" s="11">
        <v>95.2</v>
      </c>
      <c r="E92" s="11">
        <v>0.1</v>
      </c>
      <c r="F92" s="11">
        <v>52.3</v>
      </c>
      <c r="H92" s="12"/>
      <c r="I92" s="13" t="s">
        <v>98</v>
      </c>
      <c r="J92" s="14">
        <v>54.1</v>
      </c>
      <c r="K92" s="14">
        <v>65.599999999999994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1"/>
  <sheetViews>
    <sheetView topLeftCell="D1" zoomScaleNormal="100" workbookViewId="0">
      <selection activeCell="F3" sqref="F3"/>
    </sheetView>
  </sheetViews>
  <sheetFormatPr defaultColWidth="8.7109375" defaultRowHeight="15" x14ac:dyDescent="0.25"/>
  <cols>
    <col min="2" max="2" width="19.7109375" customWidth="1"/>
    <col min="3" max="3" width="24.42578125" customWidth="1"/>
    <col min="4" max="4" width="31.28515625" customWidth="1"/>
    <col min="5" max="5" width="35.140625" customWidth="1"/>
    <col min="6" max="6" width="45.85546875" customWidth="1"/>
  </cols>
  <sheetData>
    <row r="2" spans="2:6" ht="131.25" customHeight="1" x14ac:dyDescent="0.25">
      <c r="B2" s="15" t="s">
        <v>1</v>
      </c>
      <c r="C2" s="15" t="s">
        <v>2</v>
      </c>
      <c r="D2" s="15" t="s">
        <v>4</v>
      </c>
      <c r="E2" s="15" t="s">
        <v>5</v>
      </c>
      <c r="F2" s="15" t="s">
        <v>6</v>
      </c>
    </row>
    <row r="3" spans="2:6" x14ac:dyDescent="0.25">
      <c r="B3" s="16" t="s">
        <v>7</v>
      </c>
      <c r="C3" s="16">
        <v>133.30000000000001</v>
      </c>
      <c r="D3" s="16">
        <v>72.3</v>
      </c>
      <c r="E3" s="16">
        <v>37.200000000000003</v>
      </c>
      <c r="F3" s="16">
        <v>287.10000000000002</v>
      </c>
    </row>
    <row r="4" spans="2:6" x14ac:dyDescent="0.25">
      <c r="B4" s="16" t="s">
        <v>8</v>
      </c>
      <c r="C4" s="16">
        <v>42.5</v>
      </c>
      <c r="D4" s="16">
        <v>28.5</v>
      </c>
      <c r="E4" s="16">
        <v>74.900000000000006</v>
      </c>
      <c r="F4" s="16">
        <v>3.7</v>
      </c>
    </row>
    <row r="5" spans="2:6" x14ac:dyDescent="0.25">
      <c r="B5" s="16" t="s">
        <v>9</v>
      </c>
      <c r="C5" s="16">
        <v>46.7</v>
      </c>
      <c r="D5" s="16">
        <v>25</v>
      </c>
      <c r="E5" s="16">
        <v>71.3</v>
      </c>
      <c r="F5" s="16">
        <v>1.3</v>
      </c>
    </row>
    <row r="6" spans="2:6" x14ac:dyDescent="0.25">
      <c r="B6" s="16" t="s">
        <v>10</v>
      </c>
      <c r="C6" s="16">
        <v>95.1</v>
      </c>
      <c r="D6" s="16">
        <v>41.9</v>
      </c>
      <c r="E6" s="16">
        <v>37.299999999999997</v>
      </c>
      <c r="F6" s="16">
        <v>471.7</v>
      </c>
    </row>
    <row r="7" spans="2:6" x14ac:dyDescent="0.25">
      <c r="B7" s="16" t="s">
        <v>11</v>
      </c>
      <c r="C7" s="16">
        <v>11.1</v>
      </c>
      <c r="D7" s="16">
        <v>5.2</v>
      </c>
      <c r="E7" s="16">
        <v>52.2</v>
      </c>
      <c r="F7" s="16">
        <v>651.70000000000005</v>
      </c>
    </row>
    <row r="8" spans="2:6" x14ac:dyDescent="0.25">
      <c r="B8" s="16" t="s">
        <v>12</v>
      </c>
      <c r="C8" s="16">
        <v>96.7</v>
      </c>
      <c r="D8" s="16">
        <v>59.3</v>
      </c>
      <c r="E8" s="16">
        <v>84.1</v>
      </c>
      <c r="F8" s="16">
        <v>248.6</v>
      </c>
    </row>
    <row r="9" spans="2:6" x14ac:dyDescent="0.25">
      <c r="B9" s="16" t="s">
        <v>14</v>
      </c>
      <c r="C9" s="16" t="s">
        <v>15</v>
      </c>
      <c r="D9" s="16" t="s">
        <v>15</v>
      </c>
      <c r="E9" s="16" t="s">
        <v>15</v>
      </c>
      <c r="F9" s="16" t="s">
        <v>15</v>
      </c>
    </row>
    <row r="10" spans="2:6" x14ac:dyDescent="0.25">
      <c r="B10" s="16" t="s">
        <v>16</v>
      </c>
      <c r="C10" s="16">
        <v>53.9</v>
      </c>
      <c r="D10" s="16">
        <v>43.3</v>
      </c>
      <c r="E10" s="16">
        <v>88.4</v>
      </c>
      <c r="F10" s="16">
        <v>11.7</v>
      </c>
    </row>
    <row r="11" spans="2:6" x14ac:dyDescent="0.25">
      <c r="B11" s="16" t="s">
        <v>17</v>
      </c>
      <c r="C11" s="16">
        <v>110.7</v>
      </c>
      <c r="D11" s="16">
        <v>59.9</v>
      </c>
      <c r="E11" s="16">
        <v>71.400000000000006</v>
      </c>
      <c r="F11" s="16">
        <v>12.8</v>
      </c>
    </row>
    <row r="12" spans="2:6" x14ac:dyDescent="0.25">
      <c r="B12" s="16" t="s">
        <v>18</v>
      </c>
      <c r="C12" s="16">
        <v>88.1</v>
      </c>
      <c r="D12" s="16">
        <v>49.5</v>
      </c>
      <c r="E12" s="16">
        <v>59.7</v>
      </c>
      <c r="F12" s="16">
        <v>262.60000000000002</v>
      </c>
    </row>
    <row r="13" spans="2:6" x14ac:dyDescent="0.25">
      <c r="B13" s="16" t="s">
        <v>19</v>
      </c>
      <c r="C13" s="16">
        <v>112.8</v>
      </c>
      <c r="D13" s="16">
        <v>54</v>
      </c>
      <c r="E13" s="16">
        <v>41.9</v>
      </c>
      <c r="F13" s="16">
        <v>269.60000000000002</v>
      </c>
    </row>
    <row r="14" spans="2:6" x14ac:dyDescent="0.25">
      <c r="B14" s="16" t="s">
        <v>20</v>
      </c>
      <c r="C14" s="16">
        <v>176.8</v>
      </c>
      <c r="D14" s="16">
        <v>106.2</v>
      </c>
      <c r="E14" s="16">
        <v>72.8</v>
      </c>
      <c r="F14" s="16">
        <v>93.2</v>
      </c>
    </row>
    <row r="15" spans="2:6" x14ac:dyDescent="0.25">
      <c r="B15" s="16" t="s">
        <v>21</v>
      </c>
      <c r="C15" s="16">
        <v>108.6</v>
      </c>
      <c r="D15" s="16">
        <v>67</v>
      </c>
      <c r="E15" s="16">
        <v>53.9</v>
      </c>
      <c r="F15" s="16">
        <v>413.1</v>
      </c>
    </row>
    <row r="16" spans="2:6" x14ac:dyDescent="0.25">
      <c r="B16" s="16" t="s">
        <v>22</v>
      </c>
      <c r="C16" s="16">
        <v>49.4</v>
      </c>
      <c r="D16" s="16">
        <v>24.9</v>
      </c>
      <c r="E16" s="16">
        <v>54.5</v>
      </c>
      <c r="F16" s="16">
        <v>25.6</v>
      </c>
    </row>
    <row r="17" spans="2:6" x14ac:dyDescent="0.25">
      <c r="B17" s="16" t="s">
        <v>23</v>
      </c>
      <c r="C17" s="16">
        <v>108.4</v>
      </c>
      <c r="D17" s="16">
        <v>71.3</v>
      </c>
      <c r="E17" s="16">
        <v>60.7</v>
      </c>
      <c r="F17" s="16">
        <v>257.5</v>
      </c>
    </row>
    <row r="18" spans="2:6" x14ac:dyDescent="0.25">
      <c r="B18" s="16" t="s">
        <v>24</v>
      </c>
      <c r="C18" s="16">
        <v>104.1</v>
      </c>
      <c r="D18" s="16">
        <v>75.7</v>
      </c>
      <c r="E18" s="16">
        <v>39.299999999999997</v>
      </c>
      <c r="F18" s="16">
        <v>299.2</v>
      </c>
    </row>
    <row r="19" spans="2:6" x14ac:dyDescent="0.25">
      <c r="B19" s="16" t="s">
        <v>25</v>
      </c>
      <c r="C19" s="16">
        <v>118.1</v>
      </c>
      <c r="D19" s="16">
        <v>53.1</v>
      </c>
      <c r="E19" s="16">
        <v>65</v>
      </c>
      <c r="F19" s="16">
        <v>280.7</v>
      </c>
    </row>
    <row r="20" spans="2:6" x14ac:dyDescent="0.25">
      <c r="B20" s="16" t="s">
        <v>26</v>
      </c>
      <c r="C20" s="16">
        <v>116.4</v>
      </c>
      <c r="D20" s="16">
        <v>53</v>
      </c>
      <c r="E20" s="16">
        <v>43.4</v>
      </c>
      <c r="F20" s="16">
        <v>336.6</v>
      </c>
    </row>
    <row r="21" spans="2:6" x14ac:dyDescent="0.25">
      <c r="B21" s="16" t="s">
        <v>27</v>
      </c>
      <c r="C21" s="16">
        <v>125.8</v>
      </c>
      <c r="D21" s="16">
        <v>50.2</v>
      </c>
      <c r="E21" s="16">
        <v>74.8</v>
      </c>
      <c r="F21" s="16">
        <v>1213.5</v>
      </c>
    </row>
    <row r="22" spans="2:6" x14ac:dyDescent="0.25">
      <c r="B22" s="16" t="s">
        <v>28</v>
      </c>
      <c r="C22" s="16">
        <v>52.5</v>
      </c>
      <c r="D22" s="16">
        <v>39.5</v>
      </c>
      <c r="E22" s="16">
        <v>52</v>
      </c>
      <c r="F22" s="16">
        <v>129.80000000000001</v>
      </c>
    </row>
    <row r="23" spans="2:6" x14ac:dyDescent="0.25">
      <c r="B23" s="16" t="s">
        <v>29</v>
      </c>
      <c r="C23" s="16">
        <v>73.8</v>
      </c>
      <c r="D23" s="16">
        <v>45.5</v>
      </c>
      <c r="E23" s="16">
        <v>60.1</v>
      </c>
      <c r="F23" s="16">
        <v>33.200000000000003</v>
      </c>
    </row>
    <row r="24" spans="2:6" x14ac:dyDescent="0.25">
      <c r="B24" s="16" t="s">
        <v>30</v>
      </c>
      <c r="C24" s="16">
        <v>114.5</v>
      </c>
      <c r="D24" s="16">
        <v>63.4</v>
      </c>
      <c r="E24" s="16">
        <v>43.5</v>
      </c>
      <c r="F24" s="16">
        <v>181.7</v>
      </c>
    </row>
    <row r="25" spans="2:6" x14ac:dyDescent="0.25">
      <c r="B25" s="16" t="s">
        <v>31</v>
      </c>
      <c r="C25" s="16">
        <v>89.6</v>
      </c>
      <c r="D25" s="16">
        <v>37</v>
      </c>
      <c r="E25" s="16">
        <v>70.7</v>
      </c>
      <c r="F25" s="16">
        <v>2542.4</v>
      </c>
    </row>
    <row r="26" spans="2:6" x14ac:dyDescent="0.25">
      <c r="B26" s="16" t="s">
        <v>32</v>
      </c>
      <c r="C26" s="16">
        <v>104.8</v>
      </c>
      <c r="D26" s="16">
        <v>58</v>
      </c>
      <c r="E26" s="16">
        <v>59</v>
      </c>
      <c r="F26" s="16">
        <v>352.1</v>
      </c>
    </row>
    <row r="27" spans="2:6" x14ac:dyDescent="0.25">
      <c r="B27" s="16" t="s">
        <v>33</v>
      </c>
      <c r="C27" s="16">
        <v>109.6</v>
      </c>
      <c r="D27" s="16">
        <v>84.5</v>
      </c>
      <c r="E27" s="16">
        <v>38.1</v>
      </c>
      <c r="F27" s="16">
        <v>284.8</v>
      </c>
    </row>
    <row r="28" spans="2:6" x14ac:dyDescent="0.25">
      <c r="B28" s="16" t="s">
        <v>34</v>
      </c>
      <c r="C28" s="16">
        <v>76.599999999999994</v>
      </c>
      <c r="D28" s="16">
        <v>42.2</v>
      </c>
      <c r="E28" s="16">
        <v>59.3</v>
      </c>
      <c r="F28" s="16">
        <v>272.8</v>
      </c>
    </row>
    <row r="29" spans="2:6" x14ac:dyDescent="0.25">
      <c r="B29" s="16" t="s">
        <v>35</v>
      </c>
      <c r="C29" s="16">
        <v>82.9</v>
      </c>
      <c r="D29" s="16">
        <v>57.9</v>
      </c>
      <c r="E29" s="16">
        <v>63.4</v>
      </c>
      <c r="F29" s="16">
        <v>94.6</v>
      </c>
    </row>
    <row r="30" spans="2:6" x14ac:dyDescent="0.25">
      <c r="B30" s="16" t="s">
        <v>36</v>
      </c>
      <c r="C30" s="16">
        <v>265.10000000000002</v>
      </c>
      <c r="D30" s="16">
        <v>88.3</v>
      </c>
      <c r="E30" s="16">
        <v>43.2</v>
      </c>
      <c r="F30" s="16">
        <v>22.2</v>
      </c>
    </row>
    <row r="31" spans="2:6" x14ac:dyDescent="0.25">
      <c r="B31" s="16" t="s">
        <v>37</v>
      </c>
      <c r="C31" s="16">
        <v>97</v>
      </c>
      <c r="D31" s="16">
        <v>45</v>
      </c>
      <c r="E31" s="16">
        <v>65.2</v>
      </c>
      <c r="F31" s="16">
        <v>476</v>
      </c>
    </row>
    <row r="32" spans="2:6" x14ac:dyDescent="0.25">
      <c r="B32" s="16" t="s">
        <v>38</v>
      </c>
      <c r="C32" s="16">
        <v>131.5</v>
      </c>
      <c r="D32" s="16">
        <v>80.900000000000006</v>
      </c>
      <c r="E32" s="16">
        <v>45.9</v>
      </c>
      <c r="F32" s="16">
        <v>716.9</v>
      </c>
    </row>
    <row r="33" spans="2:6" x14ac:dyDescent="0.25">
      <c r="B33" s="16" t="s">
        <v>39</v>
      </c>
      <c r="C33" s="16">
        <v>107.1</v>
      </c>
      <c r="D33" s="16">
        <v>48.7</v>
      </c>
      <c r="E33" s="16">
        <v>45</v>
      </c>
      <c r="F33" s="16">
        <v>4.0999999999999996</v>
      </c>
    </row>
    <row r="34" spans="2:6" x14ac:dyDescent="0.25">
      <c r="B34" s="16" t="s">
        <v>40</v>
      </c>
      <c r="C34" s="16">
        <v>77.400000000000006</v>
      </c>
      <c r="D34" s="16">
        <v>46</v>
      </c>
      <c r="E34" s="16">
        <v>41.1</v>
      </c>
      <c r="F34" s="16">
        <v>305</v>
      </c>
    </row>
    <row r="35" spans="2:6" x14ac:dyDescent="0.25">
      <c r="B35" s="16" t="s">
        <v>41</v>
      </c>
      <c r="C35" s="16">
        <v>141.69999999999999</v>
      </c>
      <c r="D35" s="16">
        <v>60.9</v>
      </c>
      <c r="E35" s="16">
        <v>30.9</v>
      </c>
      <c r="F35" s="16">
        <v>226.1</v>
      </c>
    </row>
    <row r="36" spans="2:6" x14ac:dyDescent="0.25">
      <c r="B36" s="16" t="s">
        <v>42</v>
      </c>
      <c r="C36" s="16">
        <v>98.4</v>
      </c>
      <c r="D36" s="16">
        <v>37.299999999999997</v>
      </c>
      <c r="E36" s="16">
        <v>41.2</v>
      </c>
      <c r="F36" s="16">
        <v>511.7</v>
      </c>
    </row>
    <row r="37" spans="2:6" x14ac:dyDescent="0.25">
      <c r="B37" s="16" t="s">
        <v>43</v>
      </c>
      <c r="C37" s="16">
        <v>122.9</v>
      </c>
      <c r="D37" s="16">
        <v>68.400000000000006</v>
      </c>
      <c r="E37" s="16">
        <v>44.1</v>
      </c>
      <c r="F37" s="16">
        <v>16.5</v>
      </c>
    </row>
    <row r="38" spans="2:6" x14ac:dyDescent="0.25">
      <c r="B38" s="16" t="s">
        <v>44</v>
      </c>
      <c r="C38" s="16">
        <v>92.7</v>
      </c>
      <c r="D38" s="16">
        <v>73.099999999999994</v>
      </c>
      <c r="E38" s="16">
        <v>50</v>
      </c>
      <c r="F38" s="16">
        <v>48.1</v>
      </c>
    </row>
    <row r="39" spans="2:6" x14ac:dyDescent="0.25">
      <c r="B39" s="16" t="s">
        <v>45</v>
      </c>
      <c r="C39" s="16">
        <v>219.4</v>
      </c>
      <c r="D39" s="16">
        <v>150.69999999999999</v>
      </c>
      <c r="E39" s="16">
        <v>47</v>
      </c>
      <c r="F39" s="16">
        <v>51.3</v>
      </c>
    </row>
    <row r="40" spans="2:6" x14ac:dyDescent="0.25">
      <c r="B40" s="16" t="s">
        <v>46</v>
      </c>
      <c r="C40" s="16">
        <v>65.599999999999994</v>
      </c>
      <c r="D40" s="16">
        <v>26.6</v>
      </c>
      <c r="E40" s="16">
        <v>82.8</v>
      </c>
      <c r="F40" s="16">
        <v>1024.5</v>
      </c>
    </row>
    <row r="41" spans="2:6" x14ac:dyDescent="0.25">
      <c r="B41" s="16" t="s">
        <v>47</v>
      </c>
      <c r="C41" s="16">
        <v>89.3</v>
      </c>
      <c r="D41" s="16">
        <v>38.9</v>
      </c>
      <c r="E41" s="16">
        <v>74.2</v>
      </c>
      <c r="F41" s="16">
        <v>477.5</v>
      </c>
    </row>
    <row r="42" spans="2:6" x14ac:dyDescent="0.25">
      <c r="B42" s="16" t="s">
        <v>48</v>
      </c>
      <c r="C42" s="16">
        <v>116.8</v>
      </c>
      <c r="D42" s="16">
        <v>60.6</v>
      </c>
      <c r="E42" s="16">
        <v>46.7</v>
      </c>
      <c r="F42" s="16">
        <v>27.3</v>
      </c>
    </row>
    <row r="43" spans="2:6" x14ac:dyDescent="0.25">
      <c r="B43" s="16" t="s">
        <v>49</v>
      </c>
      <c r="C43" s="16">
        <v>65.5</v>
      </c>
      <c r="D43" s="16">
        <v>42.2</v>
      </c>
      <c r="E43" s="16">
        <v>67.099999999999994</v>
      </c>
      <c r="F43" s="16">
        <v>325.10000000000002</v>
      </c>
    </row>
    <row r="44" spans="2:6" x14ac:dyDescent="0.25">
      <c r="B44" s="16" t="s">
        <v>50</v>
      </c>
      <c r="C44" s="16">
        <v>148.5</v>
      </c>
      <c r="D44" s="16">
        <v>94.9</v>
      </c>
      <c r="E44" s="16">
        <v>38</v>
      </c>
      <c r="F44" s="16">
        <v>49.9</v>
      </c>
    </row>
    <row r="45" spans="2:6" x14ac:dyDescent="0.25">
      <c r="B45" s="16" t="s">
        <v>51</v>
      </c>
      <c r="C45" s="16">
        <v>77</v>
      </c>
      <c r="D45" s="16">
        <v>49.5</v>
      </c>
      <c r="E45" s="16">
        <v>77.099999999999994</v>
      </c>
      <c r="F45" s="16">
        <v>578.79999999999995</v>
      </c>
    </row>
    <row r="46" spans="2:6" x14ac:dyDescent="0.25">
      <c r="B46" s="16" t="s">
        <v>52</v>
      </c>
      <c r="C46" s="16">
        <v>120.5</v>
      </c>
      <c r="D46" s="16">
        <v>91.4</v>
      </c>
      <c r="E46" s="16">
        <v>46.8</v>
      </c>
      <c r="F46" s="16">
        <v>312.60000000000002</v>
      </c>
    </row>
    <row r="47" spans="2:6" x14ac:dyDescent="0.25">
      <c r="B47" s="16" t="s">
        <v>53</v>
      </c>
      <c r="C47" s="16">
        <v>104.4</v>
      </c>
      <c r="D47" s="16">
        <v>85.3</v>
      </c>
      <c r="E47" s="16">
        <v>61.8</v>
      </c>
      <c r="F47" s="16">
        <v>93.7</v>
      </c>
    </row>
    <row r="48" spans="2:6" x14ac:dyDescent="0.25">
      <c r="B48" s="16" t="s">
        <v>54</v>
      </c>
      <c r="C48" s="16">
        <v>74.2</v>
      </c>
      <c r="D48" s="16">
        <v>44.6</v>
      </c>
      <c r="E48" s="16">
        <v>64.5</v>
      </c>
      <c r="F48" s="16">
        <v>146.9</v>
      </c>
    </row>
    <row r="49" spans="2:6" x14ac:dyDescent="0.25">
      <c r="B49" s="16" t="s">
        <v>55</v>
      </c>
      <c r="C49" s="16">
        <v>143.19999999999999</v>
      </c>
      <c r="D49" s="16">
        <v>84.1</v>
      </c>
      <c r="E49" s="16">
        <v>61.4</v>
      </c>
      <c r="F49" s="16">
        <v>279</v>
      </c>
    </row>
    <row r="50" spans="2:6" x14ac:dyDescent="0.25">
      <c r="B50" s="16" t="s">
        <v>56</v>
      </c>
      <c r="C50" s="16">
        <v>85.3</v>
      </c>
      <c r="D50" s="16">
        <v>56.3</v>
      </c>
      <c r="E50" s="16">
        <v>50.9</v>
      </c>
      <c r="F50" s="16">
        <v>409.4</v>
      </c>
    </row>
    <row r="51" spans="2:6" x14ac:dyDescent="0.25">
      <c r="B51" s="16" t="s">
        <v>57</v>
      </c>
      <c r="C51" s="16">
        <v>54.2</v>
      </c>
      <c r="D51" s="16">
        <v>44.3</v>
      </c>
      <c r="E51" s="16">
        <v>53.3</v>
      </c>
      <c r="F51" s="16">
        <v>164.6</v>
      </c>
    </row>
    <row r="52" spans="2:6" x14ac:dyDescent="0.25">
      <c r="B52" s="16" t="s">
        <v>58</v>
      </c>
      <c r="C52" s="16">
        <v>188.8</v>
      </c>
      <c r="D52" s="16">
        <v>82.9</v>
      </c>
      <c r="E52" s="16">
        <v>45.1</v>
      </c>
      <c r="F52" s="16">
        <v>100.2</v>
      </c>
    </row>
    <row r="53" spans="2:6" x14ac:dyDescent="0.25">
      <c r="B53" s="16" t="s">
        <v>59</v>
      </c>
      <c r="C53" s="16">
        <v>88.9</v>
      </c>
      <c r="D53" s="16">
        <v>50.5</v>
      </c>
      <c r="E53" s="16">
        <v>53.3</v>
      </c>
      <c r="F53" s="16">
        <v>113</v>
      </c>
    </row>
    <row r="54" spans="2:6" x14ac:dyDescent="0.25">
      <c r="B54" s="16" t="s">
        <v>60</v>
      </c>
      <c r="C54" s="16">
        <v>109.1</v>
      </c>
      <c r="D54" s="16">
        <v>66.099999999999994</v>
      </c>
      <c r="E54" s="16">
        <v>56.1</v>
      </c>
      <c r="F54" s="16">
        <v>200.8</v>
      </c>
    </row>
    <row r="55" spans="2:6" x14ac:dyDescent="0.25">
      <c r="B55" s="16" t="s">
        <v>61</v>
      </c>
      <c r="C55" s="16">
        <v>120.3</v>
      </c>
      <c r="D55" s="16">
        <v>80.2</v>
      </c>
      <c r="E55" s="16">
        <v>44.9</v>
      </c>
      <c r="F55" s="16">
        <v>314.60000000000002</v>
      </c>
    </row>
    <row r="56" spans="2:6" x14ac:dyDescent="0.25">
      <c r="B56" s="16" t="s">
        <v>62</v>
      </c>
      <c r="C56" s="16">
        <v>66.7</v>
      </c>
      <c r="D56" s="16">
        <v>28.4</v>
      </c>
      <c r="E56" s="16">
        <v>62.6</v>
      </c>
      <c r="F56" s="16">
        <v>1.9</v>
      </c>
    </row>
    <row r="57" spans="2:6" x14ac:dyDescent="0.25">
      <c r="B57" s="16" t="s">
        <v>63</v>
      </c>
      <c r="C57" s="16">
        <v>81.599999999999994</v>
      </c>
      <c r="D57" s="16">
        <v>56.8</v>
      </c>
      <c r="E57" s="16">
        <v>57.5</v>
      </c>
      <c r="F57" s="16">
        <v>24.2</v>
      </c>
    </row>
    <row r="58" spans="2:6" x14ac:dyDescent="0.25">
      <c r="B58" s="16" t="s">
        <v>64</v>
      </c>
      <c r="C58" s="16">
        <v>49.2</v>
      </c>
      <c r="D58" s="16">
        <v>24.6</v>
      </c>
      <c r="E58" s="16">
        <v>73.900000000000006</v>
      </c>
      <c r="F58" s="16">
        <v>848.8</v>
      </c>
    </row>
    <row r="59" spans="2:6" x14ac:dyDescent="0.25">
      <c r="B59" s="16" t="s">
        <v>65</v>
      </c>
      <c r="C59" s="16">
        <v>82.5</v>
      </c>
      <c r="D59" s="16">
        <v>34</v>
      </c>
      <c r="E59" s="16">
        <v>97.6</v>
      </c>
      <c r="F59" s="16">
        <v>2521.6</v>
      </c>
    </row>
    <row r="60" spans="2:6" x14ac:dyDescent="0.25">
      <c r="B60" s="16" t="s">
        <v>66</v>
      </c>
      <c r="C60" s="16">
        <v>89.9</v>
      </c>
      <c r="D60" s="16">
        <v>78</v>
      </c>
      <c r="E60" s="16">
        <v>37.299999999999997</v>
      </c>
      <c r="F60" s="16">
        <v>5.6</v>
      </c>
    </row>
    <row r="61" spans="2:6" x14ac:dyDescent="0.25">
      <c r="B61" s="16" t="s">
        <v>67</v>
      </c>
      <c r="C61" s="16" t="s">
        <v>15</v>
      </c>
      <c r="D61" s="16" t="s">
        <v>15</v>
      </c>
      <c r="E61" s="16" t="s">
        <v>15</v>
      </c>
      <c r="F61" s="16" t="s">
        <v>15</v>
      </c>
    </row>
    <row r="62" spans="2:6" x14ac:dyDescent="0.25">
      <c r="B62" s="16" t="s">
        <v>68</v>
      </c>
      <c r="C62" s="16">
        <v>83.8</v>
      </c>
      <c r="D62" s="16">
        <v>62.4</v>
      </c>
      <c r="E62" s="16">
        <v>62.8</v>
      </c>
      <c r="F62" s="16">
        <v>567.4</v>
      </c>
    </row>
    <row r="63" spans="2:6" x14ac:dyDescent="0.25">
      <c r="B63" s="16" t="s">
        <v>69</v>
      </c>
      <c r="C63" s="16">
        <v>99.1</v>
      </c>
      <c r="D63" s="16">
        <v>48.1</v>
      </c>
      <c r="E63" s="16">
        <v>58.7</v>
      </c>
      <c r="F63" s="16">
        <v>221.7</v>
      </c>
    </row>
    <row r="64" spans="2:6" x14ac:dyDescent="0.25">
      <c r="B64" s="16" t="s">
        <v>70</v>
      </c>
      <c r="C64" s="16">
        <v>123.1</v>
      </c>
      <c r="D64" s="16">
        <v>69.400000000000006</v>
      </c>
      <c r="E64" s="16">
        <v>46.5</v>
      </c>
      <c r="F64" s="16">
        <v>384.3</v>
      </c>
    </row>
    <row r="65" spans="2:6" x14ac:dyDescent="0.25">
      <c r="B65" s="16" t="s">
        <v>71</v>
      </c>
      <c r="C65" s="16">
        <v>85.8</v>
      </c>
      <c r="D65" s="16">
        <v>57.4</v>
      </c>
      <c r="E65" s="16">
        <v>57.2</v>
      </c>
      <c r="F65" s="16">
        <v>136.80000000000001</v>
      </c>
    </row>
    <row r="66" spans="2:6" x14ac:dyDescent="0.25">
      <c r="B66" s="16" t="s">
        <v>72</v>
      </c>
      <c r="C66" s="16">
        <v>111.1</v>
      </c>
      <c r="D66" s="16">
        <v>57.4</v>
      </c>
      <c r="E66" s="16">
        <v>64</v>
      </c>
      <c r="F66" s="16">
        <v>11.7</v>
      </c>
    </row>
    <row r="67" spans="2:6" x14ac:dyDescent="0.25">
      <c r="B67" s="16" t="s">
        <v>73</v>
      </c>
      <c r="C67" s="16">
        <v>124.1</v>
      </c>
      <c r="D67" s="16">
        <v>61.3</v>
      </c>
      <c r="E67" s="16">
        <v>84.4</v>
      </c>
      <c r="F67" s="16">
        <v>481</v>
      </c>
    </row>
    <row r="68" spans="2:6" x14ac:dyDescent="0.25">
      <c r="B68" s="16" t="s">
        <v>74</v>
      </c>
      <c r="C68" s="16">
        <v>171.2</v>
      </c>
      <c r="D68" s="16">
        <v>91.5</v>
      </c>
      <c r="E68" s="16">
        <v>48.3</v>
      </c>
      <c r="F68" s="16">
        <v>139.30000000000001</v>
      </c>
    </row>
    <row r="69" spans="2:6" x14ac:dyDescent="0.25">
      <c r="B69" s="16" t="s">
        <v>75</v>
      </c>
      <c r="C69" s="16">
        <v>166.4</v>
      </c>
      <c r="D69" s="16">
        <v>79.5</v>
      </c>
      <c r="E69" s="16">
        <v>26.3</v>
      </c>
      <c r="F69" s="16">
        <v>115.8</v>
      </c>
    </row>
    <row r="70" spans="2:6" x14ac:dyDescent="0.25">
      <c r="B70" s="16" t="s">
        <v>76</v>
      </c>
      <c r="C70" s="16">
        <v>93</v>
      </c>
      <c r="D70" s="16">
        <v>58.9</v>
      </c>
      <c r="E70" s="16">
        <v>71.2</v>
      </c>
      <c r="F70" s="16">
        <v>183.1</v>
      </c>
    </row>
    <row r="71" spans="2:6" x14ac:dyDescent="0.25">
      <c r="B71" s="16" t="s">
        <v>77</v>
      </c>
      <c r="C71" s="16">
        <v>122.8</v>
      </c>
      <c r="D71" s="16">
        <v>50.2</v>
      </c>
      <c r="E71" s="16">
        <v>45.4</v>
      </c>
      <c r="F71" s="16">
        <v>363.3</v>
      </c>
    </row>
    <row r="72" spans="2:6" x14ac:dyDescent="0.25">
      <c r="B72" s="16" t="s">
        <v>78</v>
      </c>
      <c r="C72" s="16">
        <v>87.2</v>
      </c>
      <c r="D72" s="16">
        <v>81</v>
      </c>
      <c r="E72" s="16">
        <v>53.4</v>
      </c>
      <c r="F72" s="16">
        <v>4.4000000000000004</v>
      </c>
    </row>
    <row r="73" spans="2:6" x14ac:dyDescent="0.25">
      <c r="B73" s="16" t="s">
        <v>79</v>
      </c>
      <c r="C73" s="16">
        <v>127.1</v>
      </c>
      <c r="D73" s="16">
        <v>62</v>
      </c>
      <c r="E73" s="16">
        <v>51.4</v>
      </c>
      <c r="F73" s="16">
        <v>365.4</v>
      </c>
    </row>
    <row r="74" spans="2:6" x14ac:dyDescent="0.25">
      <c r="B74" s="16" t="s">
        <v>80</v>
      </c>
      <c r="C74" s="16">
        <v>95.5</v>
      </c>
      <c r="D74" s="16">
        <v>59.8</v>
      </c>
      <c r="E74" s="16">
        <v>59.8</v>
      </c>
      <c r="F74" s="16">
        <v>518.9</v>
      </c>
    </row>
    <row r="75" spans="2:6" x14ac:dyDescent="0.25">
      <c r="B75" s="16" t="s">
        <v>81</v>
      </c>
      <c r="C75" s="16">
        <v>95.1</v>
      </c>
      <c r="D75" s="16">
        <v>44.2</v>
      </c>
      <c r="E75" s="16">
        <v>62.4</v>
      </c>
      <c r="F75" s="16">
        <v>665.7</v>
      </c>
    </row>
    <row r="76" spans="2:6" x14ac:dyDescent="0.25">
      <c r="B76" s="16" t="s">
        <v>82</v>
      </c>
      <c r="C76" s="16">
        <v>117</v>
      </c>
      <c r="D76" s="16">
        <v>54.8</v>
      </c>
      <c r="E76" s="16">
        <v>44.6</v>
      </c>
      <c r="F76" s="16">
        <v>33</v>
      </c>
    </row>
    <row r="77" spans="2:6" x14ac:dyDescent="0.25">
      <c r="B77" s="16" t="s">
        <v>83</v>
      </c>
      <c r="C77" s="16">
        <v>113.7</v>
      </c>
      <c r="D77" s="16">
        <v>72.3</v>
      </c>
      <c r="E77" s="16">
        <v>57.3</v>
      </c>
      <c r="F77" s="16">
        <v>338.4</v>
      </c>
    </row>
    <row r="78" spans="2:6" x14ac:dyDescent="0.25">
      <c r="B78" s="16" t="s">
        <v>84</v>
      </c>
      <c r="C78" s="16" t="s">
        <v>15</v>
      </c>
      <c r="D78" s="16" t="s">
        <v>15</v>
      </c>
      <c r="E78" s="16" t="s">
        <v>15</v>
      </c>
      <c r="F78" s="16" t="s">
        <v>15</v>
      </c>
    </row>
    <row r="79" spans="2:6" x14ac:dyDescent="0.25">
      <c r="B79" s="16" t="s">
        <v>85</v>
      </c>
      <c r="C79" s="16">
        <v>97.9</v>
      </c>
      <c r="D79" s="16">
        <v>53.7</v>
      </c>
      <c r="E79" s="16">
        <v>46.1</v>
      </c>
      <c r="F79" s="16">
        <v>34.9</v>
      </c>
    </row>
    <row r="80" spans="2:6" x14ac:dyDescent="0.25">
      <c r="B80" s="16" t="s">
        <v>86</v>
      </c>
      <c r="C80" s="16">
        <v>123.1</v>
      </c>
      <c r="D80" s="16">
        <v>67.2</v>
      </c>
      <c r="E80" s="16">
        <v>41.4</v>
      </c>
      <c r="F80" s="16">
        <v>71.2</v>
      </c>
    </row>
    <row r="81" spans="2:6" x14ac:dyDescent="0.25">
      <c r="B81" s="16" t="s">
        <v>87</v>
      </c>
      <c r="C81" s="16" t="s">
        <v>15</v>
      </c>
      <c r="D81" s="16" t="s">
        <v>15</v>
      </c>
      <c r="E81" s="16" t="s">
        <v>15</v>
      </c>
      <c r="F81" s="16" t="s">
        <v>15</v>
      </c>
    </row>
    <row r="82" spans="2:6" x14ac:dyDescent="0.25">
      <c r="B82" s="16" t="s">
        <v>88</v>
      </c>
      <c r="C82" s="16">
        <v>111.7</v>
      </c>
      <c r="D82" s="16">
        <v>68.7</v>
      </c>
      <c r="E82" s="16">
        <v>56.7</v>
      </c>
      <c r="F82" s="16">
        <v>429.3</v>
      </c>
    </row>
    <row r="83" spans="2:6" x14ac:dyDescent="0.25">
      <c r="B83" s="16" t="s">
        <v>89</v>
      </c>
      <c r="C83" s="16">
        <v>115.5</v>
      </c>
      <c r="D83" s="16">
        <v>66.599999999999994</v>
      </c>
      <c r="E83" s="16">
        <v>42.9</v>
      </c>
      <c r="F83" s="16">
        <v>110.7</v>
      </c>
    </row>
    <row r="84" spans="2:6" x14ac:dyDescent="0.25">
      <c r="B84" s="16" t="s">
        <v>90</v>
      </c>
      <c r="C84" s="16">
        <v>86.3</v>
      </c>
      <c r="D84" s="16">
        <v>58.1</v>
      </c>
      <c r="E84" s="16">
        <v>29.7</v>
      </c>
      <c r="F84" s="16">
        <v>153.4</v>
      </c>
    </row>
    <row r="85" spans="2:6" x14ac:dyDescent="0.25">
      <c r="B85" s="16" t="s">
        <v>91</v>
      </c>
      <c r="C85" s="16">
        <v>160.4</v>
      </c>
      <c r="D85" s="16">
        <v>84.5</v>
      </c>
      <c r="E85" s="16">
        <v>43.5</v>
      </c>
      <c r="F85" s="16">
        <v>394.2</v>
      </c>
    </row>
    <row r="86" spans="2:6" x14ac:dyDescent="0.25">
      <c r="B86" s="16" t="s">
        <v>92</v>
      </c>
      <c r="C86" s="16">
        <v>65.7</v>
      </c>
      <c r="D86" s="16">
        <v>23.8</v>
      </c>
      <c r="E86" s="16">
        <v>49.4</v>
      </c>
      <c r="F86" s="16">
        <v>331.2</v>
      </c>
    </row>
    <row r="87" spans="2:6" x14ac:dyDescent="0.25">
      <c r="B87" s="16" t="s">
        <v>93</v>
      </c>
      <c r="C87" s="16">
        <v>82.2</v>
      </c>
      <c r="D87" s="16">
        <v>51.6</v>
      </c>
      <c r="E87" s="16">
        <v>77.3</v>
      </c>
      <c r="F87" s="16">
        <v>732</v>
      </c>
    </row>
    <row r="88" spans="2:6" x14ac:dyDescent="0.25">
      <c r="B88" s="16" t="s">
        <v>94</v>
      </c>
      <c r="C88" s="16">
        <v>122.4</v>
      </c>
      <c r="D88" s="16">
        <v>57.6</v>
      </c>
      <c r="E88" s="16">
        <v>39.9</v>
      </c>
      <c r="F88" s="16">
        <v>84.8</v>
      </c>
    </row>
    <row r="89" spans="2:6" x14ac:dyDescent="0.25">
      <c r="B89" s="16" t="s">
        <v>95</v>
      </c>
      <c r="C89" s="16">
        <v>67.099999999999994</v>
      </c>
      <c r="D89" s="16">
        <v>36.700000000000003</v>
      </c>
      <c r="E89" s="16">
        <v>15.7</v>
      </c>
      <c r="F89" s="16">
        <v>29.6</v>
      </c>
    </row>
    <row r="90" spans="2:6" x14ac:dyDescent="0.25">
      <c r="B90" s="16" t="s">
        <v>96</v>
      </c>
      <c r="C90" s="16">
        <v>166.8</v>
      </c>
      <c r="D90" s="16">
        <v>98.9</v>
      </c>
      <c r="E90" s="16">
        <v>33.5</v>
      </c>
      <c r="F90" s="16">
        <v>37.200000000000003</v>
      </c>
    </row>
    <row r="91" spans="2:6" x14ac:dyDescent="0.25">
      <c r="B91" s="16" t="s">
        <v>97</v>
      </c>
      <c r="C91" s="16">
        <v>105.4</v>
      </c>
      <c r="D91" s="16">
        <v>65.7</v>
      </c>
      <c r="E91" s="16">
        <v>36.299999999999997</v>
      </c>
      <c r="F91" s="16">
        <v>199.8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7"/>
  <sheetViews>
    <sheetView topLeftCell="B1" zoomScaleNormal="100" workbookViewId="0">
      <selection activeCell="B2" sqref="B2:G87"/>
    </sheetView>
  </sheetViews>
  <sheetFormatPr defaultColWidth="8.7109375" defaultRowHeight="15" x14ac:dyDescent="0.25"/>
  <cols>
    <col min="1" max="1" width="13.85546875" customWidth="1"/>
    <col min="2" max="2" width="29.140625" customWidth="1"/>
    <col min="3" max="3" width="13.42578125" customWidth="1"/>
    <col min="4" max="4" width="15.7109375" customWidth="1"/>
    <col min="5" max="5" width="10.42578125" customWidth="1"/>
    <col min="6" max="6" width="14.5703125" customWidth="1"/>
    <col min="7" max="7" width="38.42578125" style="17" customWidth="1"/>
    <col min="13" max="14" width="9.140625" customWidth="1"/>
  </cols>
  <sheetData>
    <row r="2" spans="2:8" ht="159.75" customHeight="1" x14ac:dyDescent="0.25">
      <c r="B2" s="15" t="s">
        <v>1</v>
      </c>
      <c r="C2" s="15" t="s">
        <v>2</v>
      </c>
      <c r="D2" s="15" t="s">
        <v>4</v>
      </c>
      <c r="E2" s="15" t="s">
        <v>5</v>
      </c>
      <c r="F2" s="15" t="s">
        <v>6</v>
      </c>
      <c r="G2" s="15" t="s">
        <v>99</v>
      </c>
      <c r="H2" s="18"/>
    </row>
    <row r="3" spans="2:8" x14ac:dyDescent="0.25">
      <c r="B3" s="16" t="s">
        <v>7</v>
      </c>
      <c r="C3" s="16">
        <v>133.30000000000001</v>
      </c>
      <c r="D3" s="16">
        <v>72.3</v>
      </c>
      <c r="E3" s="16">
        <v>37.200000000000003</v>
      </c>
      <c r="F3" s="16">
        <v>287.10000000000002</v>
      </c>
      <c r="G3" s="19" t="s">
        <v>100</v>
      </c>
    </row>
    <row r="4" spans="2:8" ht="25.5" customHeight="1" x14ac:dyDescent="0.25">
      <c r="B4" s="16" t="s">
        <v>8</v>
      </c>
      <c r="C4" s="16">
        <v>42.5</v>
      </c>
      <c r="D4" s="16">
        <v>28.5</v>
      </c>
      <c r="E4" s="16">
        <v>74.900000000000006</v>
      </c>
      <c r="F4" s="16">
        <v>3.7</v>
      </c>
      <c r="G4" s="19" t="s">
        <v>101</v>
      </c>
    </row>
    <row r="5" spans="2:8" x14ac:dyDescent="0.25">
      <c r="B5" s="16" t="s">
        <v>9</v>
      </c>
      <c r="C5" s="16">
        <v>46.7</v>
      </c>
      <c r="D5" s="16">
        <v>25</v>
      </c>
      <c r="E5" s="16">
        <v>71.3</v>
      </c>
      <c r="F5" s="16">
        <v>1.3</v>
      </c>
      <c r="G5" s="19" t="s">
        <v>102</v>
      </c>
    </row>
    <row r="6" spans="2:8" x14ac:dyDescent="0.25">
      <c r="B6" s="16" t="s">
        <v>10</v>
      </c>
      <c r="C6" s="16">
        <v>95.1</v>
      </c>
      <c r="D6" s="16">
        <v>41.9</v>
      </c>
      <c r="E6" s="16">
        <v>37.299999999999997</v>
      </c>
      <c r="F6" s="16">
        <v>471.7</v>
      </c>
      <c r="G6" s="19" t="s">
        <v>103</v>
      </c>
    </row>
    <row r="7" spans="2:8" x14ac:dyDescent="0.25">
      <c r="B7" s="16" t="s">
        <v>11</v>
      </c>
      <c r="C7" s="16">
        <v>11.1</v>
      </c>
      <c r="D7" s="16">
        <v>5.2</v>
      </c>
      <c r="E7" s="16">
        <v>52.2</v>
      </c>
      <c r="F7" s="16">
        <v>651.70000000000005</v>
      </c>
      <c r="G7" s="19" t="s">
        <v>104</v>
      </c>
    </row>
    <row r="8" spans="2:8" x14ac:dyDescent="0.25">
      <c r="B8" s="16" t="s">
        <v>12</v>
      </c>
      <c r="C8" s="16">
        <v>96.7</v>
      </c>
      <c r="D8" s="16">
        <v>59.3</v>
      </c>
      <c r="E8" s="16">
        <v>84.1</v>
      </c>
      <c r="F8" s="16">
        <v>248.6</v>
      </c>
      <c r="G8" s="19" t="s">
        <v>101</v>
      </c>
    </row>
    <row r="9" spans="2:8" x14ac:dyDescent="0.25">
      <c r="B9" s="16" t="s">
        <v>16</v>
      </c>
      <c r="C9" s="16">
        <v>53.9</v>
      </c>
      <c r="D9" s="16">
        <v>43.3</v>
      </c>
      <c r="E9" s="16">
        <v>88.4</v>
      </c>
      <c r="F9" s="16">
        <v>11.7</v>
      </c>
      <c r="G9" s="19" t="s">
        <v>101</v>
      </c>
    </row>
    <row r="10" spans="2:8" x14ac:dyDescent="0.25">
      <c r="B10" s="16" t="s">
        <v>17</v>
      </c>
      <c r="C10" s="16">
        <v>110.7</v>
      </c>
      <c r="D10" s="16">
        <v>59.9</v>
      </c>
      <c r="E10" s="16">
        <v>71.400000000000006</v>
      </c>
      <c r="F10" s="16">
        <v>12.8</v>
      </c>
      <c r="G10" s="19" t="s">
        <v>102</v>
      </c>
    </row>
    <row r="11" spans="2:8" x14ac:dyDescent="0.25">
      <c r="B11" s="16" t="s">
        <v>18</v>
      </c>
      <c r="C11" s="16">
        <v>88.1</v>
      </c>
      <c r="D11" s="16">
        <v>49.5</v>
      </c>
      <c r="E11" s="16">
        <v>59.7</v>
      </c>
      <c r="F11" s="16">
        <v>262.60000000000002</v>
      </c>
      <c r="G11" s="19" t="s">
        <v>103</v>
      </c>
    </row>
    <row r="12" spans="2:8" x14ac:dyDescent="0.25">
      <c r="B12" s="16" t="s">
        <v>19</v>
      </c>
      <c r="C12" s="16">
        <v>112.8</v>
      </c>
      <c r="D12" s="16">
        <v>54</v>
      </c>
      <c r="E12" s="16">
        <v>41.9</v>
      </c>
      <c r="F12" s="16">
        <v>269.60000000000002</v>
      </c>
      <c r="G12" s="19" t="s">
        <v>103</v>
      </c>
    </row>
    <row r="13" spans="2:8" x14ac:dyDescent="0.25">
      <c r="B13" s="16" t="s">
        <v>20</v>
      </c>
      <c r="C13" s="16">
        <v>176.8</v>
      </c>
      <c r="D13" s="16">
        <v>106.2</v>
      </c>
      <c r="E13" s="16">
        <v>72.8</v>
      </c>
      <c r="F13" s="16">
        <v>93.2</v>
      </c>
      <c r="G13" s="19" t="s">
        <v>101</v>
      </c>
    </row>
    <row r="14" spans="2:8" x14ac:dyDescent="0.25">
      <c r="B14" s="16" t="s">
        <v>21</v>
      </c>
      <c r="C14" s="16">
        <v>108.6</v>
      </c>
      <c r="D14" s="16">
        <v>67</v>
      </c>
      <c r="E14" s="16">
        <v>53.9</v>
      </c>
      <c r="F14" s="16">
        <v>413.1</v>
      </c>
      <c r="G14" s="19" t="s">
        <v>100</v>
      </c>
    </row>
    <row r="15" spans="2:8" x14ac:dyDescent="0.25">
      <c r="B15" s="16" t="s">
        <v>22</v>
      </c>
      <c r="C15" s="16">
        <v>49.4</v>
      </c>
      <c r="D15" s="16">
        <v>24.9</v>
      </c>
      <c r="E15" s="16">
        <v>54.5</v>
      </c>
      <c r="F15" s="16">
        <v>25.6</v>
      </c>
      <c r="G15" s="19" t="s">
        <v>105</v>
      </c>
    </row>
    <row r="16" spans="2:8" x14ac:dyDescent="0.25">
      <c r="B16" s="16" t="s">
        <v>23</v>
      </c>
      <c r="C16" s="16">
        <v>108.4</v>
      </c>
      <c r="D16" s="16">
        <v>71.3</v>
      </c>
      <c r="E16" s="16">
        <v>60.7</v>
      </c>
      <c r="F16" s="16">
        <v>257.5</v>
      </c>
      <c r="G16" s="19" t="s">
        <v>100</v>
      </c>
    </row>
    <row r="17" spans="2:7" x14ac:dyDescent="0.25">
      <c r="B17" s="16" t="s">
        <v>24</v>
      </c>
      <c r="C17" s="16">
        <v>104.1</v>
      </c>
      <c r="D17" s="16">
        <v>75.7</v>
      </c>
      <c r="E17" s="16">
        <v>39.299999999999997</v>
      </c>
      <c r="F17" s="16">
        <v>299.2</v>
      </c>
      <c r="G17" s="19" t="s">
        <v>100</v>
      </c>
    </row>
    <row r="18" spans="2:7" x14ac:dyDescent="0.25">
      <c r="B18" s="16" t="s">
        <v>25</v>
      </c>
      <c r="C18" s="16">
        <v>118.1</v>
      </c>
      <c r="D18" s="16">
        <v>53.1</v>
      </c>
      <c r="E18" s="16">
        <v>65</v>
      </c>
      <c r="F18" s="16">
        <v>280.7</v>
      </c>
      <c r="G18" s="19" t="s">
        <v>104</v>
      </c>
    </row>
    <row r="19" spans="2:7" x14ac:dyDescent="0.25">
      <c r="B19" s="16" t="s">
        <v>26</v>
      </c>
      <c r="C19" s="16">
        <v>116.4</v>
      </c>
      <c r="D19" s="16">
        <v>53</v>
      </c>
      <c r="E19" s="16">
        <v>43.4</v>
      </c>
      <c r="F19" s="16">
        <v>336.6</v>
      </c>
      <c r="G19" s="19" t="s">
        <v>100</v>
      </c>
    </row>
    <row r="20" spans="2:7" x14ac:dyDescent="0.25">
      <c r="B20" s="16" t="s">
        <v>27</v>
      </c>
      <c r="C20" s="16">
        <v>125.8</v>
      </c>
      <c r="D20" s="16">
        <v>50.2</v>
      </c>
      <c r="E20" s="16">
        <v>74.8</v>
      </c>
      <c r="F20" s="16">
        <v>1213.5</v>
      </c>
      <c r="G20" s="19" t="s">
        <v>104</v>
      </c>
    </row>
    <row r="21" spans="2:7" ht="16.5" customHeight="1" x14ac:dyDescent="0.25">
      <c r="B21" s="16" t="s">
        <v>28</v>
      </c>
      <c r="C21" s="16">
        <v>52.5</v>
      </c>
      <c r="D21" s="16">
        <v>39.5</v>
      </c>
      <c r="E21" s="16">
        <v>52</v>
      </c>
      <c r="F21" s="16">
        <v>129.80000000000001</v>
      </c>
      <c r="G21" s="19" t="s">
        <v>101</v>
      </c>
    </row>
    <row r="22" spans="2:7" x14ac:dyDescent="0.25">
      <c r="B22" s="16" t="s">
        <v>29</v>
      </c>
      <c r="C22" s="16">
        <v>73.8</v>
      </c>
      <c r="D22" s="16">
        <v>45.5</v>
      </c>
      <c r="E22" s="16">
        <v>60.1</v>
      </c>
      <c r="F22" s="16">
        <v>33.200000000000003</v>
      </c>
      <c r="G22" s="19" t="s">
        <v>102</v>
      </c>
    </row>
    <row r="23" spans="2:7" x14ac:dyDescent="0.25">
      <c r="B23" s="16" t="s">
        <v>30</v>
      </c>
      <c r="C23" s="16">
        <v>114.5</v>
      </c>
      <c r="D23" s="16">
        <v>63.4</v>
      </c>
      <c r="E23" s="16">
        <v>43.5</v>
      </c>
      <c r="F23" s="16">
        <v>181.7</v>
      </c>
      <c r="G23" s="19" t="s">
        <v>103</v>
      </c>
    </row>
    <row r="24" spans="2:7" x14ac:dyDescent="0.25">
      <c r="B24" s="16" t="s">
        <v>31</v>
      </c>
      <c r="C24" s="16">
        <v>89.6</v>
      </c>
      <c r="D24" s="16">
        <v>37</v>
      </c>
      <c r="E24" s="16">
        <v>70.7</v>
      </c>
      <c r="F24" s="16">
        <v>2542.4</v>
      </c>
      <c r="G24" s="19" t="s">
        <v>106</v>
      </c>
    </row>
    <row r="25" spans="2:7" x14ac:dyDescent="0.25">
      <c r="B25" s="16" t="s">
        <v>32</v>
      </c>
      <c r="C25" s="16">
        <v>104.8</v>
      </c>
      <c r="D25" s="16">
        <v>58</v>
      </c>
      <c r="E25" s="16">
        <v>59</v>
      </c>
      <c r="F25" s="16">
        <v>352.1</v>
      </c>
      <c r="G25" s="19" t="s">
        <v>103</v>
      </c>
    </row>
    <row r="26" spans="2:7" x14ac:dyDescent="0.25">
      <c r="B26" s="16" t="s">
        <v>33</v>
      </c>
      <c r="C26" s="16">
        <v>109.6</v>
      </c>
      <c r="D26" s="16">
        <v>84.5</v>
      </c>
      <c r="E26" s="16">
        <v>38.1</v>
      </c>
      <c r="F26" s="16">
        <v>284.8</v>
      </c>
      <c r="G26" s="19" t="s">
        <v>100</v>
      </c>
    </row>
    <row r="27" spans="2:7" x14ac:dyDescent="0.25">
      <c r="B27" s="16" t="s">
        <v>34</v>
      </c>
      <c r="C27" s="16">
        <v>76.599999999999994</v>
      </c>
      <c r="D27" s="16">
        <v>42.2</v>
      </c>
      <c r="E27" s="16">
        <v>59.3</v>
      </c>
      <c r="F27" s="16">
        <v>272.8</v>
      </c>
      <c r="G27" s="19" t="s">
        <v>104</v>
      </c>
    </row>
    <row r="28" spans="2:7" x14ac:dyDescent="0.25">
      <c r="B28" s="16" t="s">
        <v>35</v>
      </c>
      <c r="C28" s="16">
        <v>82.9</v>
      </c>
      <c r="D28" s="16">
        <v>57.9</v>
      </c>
      <c r="E28" s="16">
        <v>63.4</v>
      </c>
      <c r="F28" s="16">
        <v>94.6</v>
      </c>
      <c r="G28" s="19" t="s">
        <v>105</v>
      </c>
    </row>
    <row r="29" spans="2:7" x14ac:dyDescent="0.25">
      <c r="B29" s="16" t="s">
        <v>36</v>
      </c>
      <c r="C29" s="16">
        <v>265.10000000000002</v>
      </c>
      <c r="D29" s="16">
        <v>88.3</v>
      </c>
      <c r="E29" s="16">
        <v>43.2</v>
      </c>
      <c r="F29" s="16">
        <v>22.2</v>
      </c>
      <c r="G29" s="19" t="s">
        <v>105</v>
      </c>
    </row>
    <row r="30" spans="2:7" x14ac:dyDescent="0.25">
      <c r="B30" s="16" t="s">
        <v>37</v>
      </c>
      <c r="C30" s="16">
        <v>97</v>
      </c>
      <c r="D30" s="16">
        <v>45</v>
      </c>
      <c r="E30" s="16">
        <v>65.2</v>
      </c>
      <c r="F30" s="16">
        <v>476</v>
      </c>
      <c r="G30" s="19" t="s">
        <v>103</v>
      </c>
    </row>
    <row r="31" spans="2:7" x14ac:dyDescent="0.25">
      <c r="B31" s="16" t="s">
        <v>38</v>
      </c>
      <c r="C31" s="16">
        <v>131.5</v>
      </c>
      <c r="D31" s="16">
        <v>80.900000000000006</v>
      </c>
      <c r="E31" s="16">
        <v>45.9</v>
      </c>
      <c r="F31" s="16">
        <v>716.9</v>
      </c>
      <c r="G31" s="19" t="s">
        <v>104</v>
      </c>
    </row>
    <row r="32" spans="2:7" x14ac:dyDescent="0.25">
      <c r="B32" s="16" t="s">
        <v>39</v>
      </c>
      <c r="C32" s="16">
        <v>107.1</v>
      </c>
      <c r="D32" s="16">
        <v>48.7</v>
      </c>
      <c r="E32" s="16">
        <v>45</v>
      </c>
      <c r="F32" s="16">
        <v>4.0999999999999996</v>
      </c>
      <c r="G32" s="19" t="s">
        <v>102</v>
      </c>
    </row>
    <row r="33" spans="2:7" ht="16.5" customHeight="1" x14ac:dyDescent="0.25">
      <c r="B33" s="16" t="s">
        <v>40</v>
      </c>
      <c r="C33" s="16">
        <v>77.400000000000006</v>
      </c>
      <c r="D33" s="16">
        <v>46</v>
      </c>
      <c r="E33" s="16">
        <v>41.1</v>
      </c>
      <c r="F33" s="16">
        <v>305</v>
      </c>
      <c r="G33" s="19" t="s">
        <v>103</v>
      </c>
    </row>
    <row r="34" spans="2:7" x14ac:dyDescent="0.25">
      <c r="B34" s="16" t="s">
        <v>41</v>
      </c>
      <c r="C34" s="16">
        <v>141.69999999999999</v>
      </c>
      <c r="D34" s="16">
        <v>60.9</v>
      </c>
      <c r="E34" s="16">
        <v>30.9</v>
      </c>
      <c r="F34" s="16">
        <v>226.1</v>
      </c>
      <c r="G34" s="19" t="s">
        <v>103</v>
      </c>
    </row>
    <row r="35" spans="2:7" x14ac:dyDescent="0.25">
      <c r="B35" s="16" t="s">
        <v>42</v>
      </c>
      <c r="C35" s="16">
        <v>98.4</v>
      </c>
      <c r="D35" s="16">
        <v>37.299999999999997</v>
      </c>
      <c r="E35" s="16">
        <v>41.2</v>
      </c>
      <c r="F35" s="16">
        <v>511.7</v>
      </c>
      <c r="G35" s="19" t="s">
        <v>104</v>
      </c>
    </row>
    <row r="36" spans="2:7" x14ac:dyDescent="0.25">
      <c r="B36" s="16" t="s">
        <v>43</v>
      </c>
      <c r="C36" s="16">
        <v>122.9</v>
      </c>
      <c r="D36" s="16">
        <v>68.400000000000006</v>
      </c>
      <c r="E36" s="16">
        <v>44.1</v>
      </c>
      <c r="F36" s="16">
        <v>16.5</v>
      </c>
      <c r="G36" s="19" t="s">
        <v>106</v>
      </c>
    </row>
    <row r="37" spans="2:7" x14ac:dyDescent="0.25">
      <c r="B37" s="16" t="s">
        <v>44</v>
      </c>
      <c r="C37" s="16">
        <v>92.7</v>
      </c>
      <c r="D37" s="16">
        <v>73.099999999999994</v>
      </c>
      <c r="E37" s="16">
        <v>50</v>
      </c>
      <c r="F37" s="16">
        <v>48.1</v>
      </c>
      <c r="G37" s="19" t="s">
        <v>106</v>
      </c>
    </row>
    <row r="38" spans="2:7" x14ac:dyDescent="0.25">
      <c r="B38" s="16" t="s">
        <v>45</v>
      </c>
      <c r="C38" s="16">
        <v>219.4</v>
      </c>
      <c r="D38" s="16">
        <v>150.69999999999999</v>
      </c>
      <c r="E38" s="16">
        <v>47</v>
      </c>
      <c r="F38" s="16">
        <v>51.3</v>
      </c>
      <c r="G38" s="19" t="s">
        <v>104</v>
      </c>
    </row>
    <row r="39" spans="2:7" x14ac:dyDescent="0.25">
      <c r="B39" s="16" t="s">
        <v>46</v>
      </c>
      <c r="C39" s="16">
        <v>65.599999999999994</v>
      </c>
      <c r="D39" s="16">
        <v>26.6</v>
      </c>
      <c r="E39" s="16">
        <v>82.8</v>
      </c>
      <c r="F39" s="16">
        <v>1024.5</v>
      </c>
      <c r="G39" s="19" t="s">
        <v>104</v>
      </c>
    </row>
    <row r="40" spans="2:7" x14ac:dyDescent="0.25">
      <c r="B40" s="16" t="s">
        <v>47</v>
      </c>
      <c r="C40" s="16">
        <v>89.3</v>
      </c>
      <c r="D40" s="16">
        <v>38.9</v>
      </c>
      <c r="E40" s="16">
        <v>74.2</v>
      </c>
      <c r="F40" s="16">
        <v>477.5</v>
      </c>
      <c r="G40" s="19" t="s">
        <v>104</v>
      </c>
    </row>
    <row r="41" spans="2:7" x14ac:dyDescent="0.25">
      <c r="B41" s="16" t="s">
        <v>48</v>
      </c>
      <c r="C41" s="16">
        <v>116.8</v>
      </c>
      <c r="D41" s="16">
        <v>60.6</v>
      </c>
      <c r="E41" s="16">
        <v>46.7</v>
      </c>
      <c r="F41" s="16">
        <v>27.3</v>
      </c>
      <c r="G41" s="19" t="s">
        <v>105</v>
      </c>
    </row>
    <row r="42" spans="2:7" x14ac:dyDescent="0.25">
      <c r="B42" s="16" t="s">
        <v>49</v>
      </c>
      <c r="C42" s="16">
        <v>65.5</v>
      </c>
      <c r="D42" s="16">
        <v>42.2</v>
      </c>
      <c r="E42" s="16">
        <v>67.099999999999994</v>
      </c>
      <c r="F42" s="16">
        <v>325.10000000000002</v>
      </c>
      <c r="G42" s="19" t="s">
        <v>103</v>
      </c>
    </row>
    <row r="43" spans="2:7" x14ac:dyDescent="0.25">
      <c r="B43" s="16" t="s">
        <v>50</v>
      </c>
      <c r="C43" s="16">
        <v>148.5</v>
      </c>
      <c r="D43" s="16">
        <v>94.9</v>
      </c>
      <c r="E43" s="16">
        <v>38</v>
      </c>
      <c r="F43" s="16">
        <v>49.9</v>
      </c>
      <c r="G43" s="19" t="s">
        <v>105</v>
      </c>
    </row>
    <row r="44" spans="2:7" x14ac:dyDescent="0.25">
      <c r="B44" s="16" t="s">
        <v>51</v>
      </c>
      <c r="C44" s="16">
        <v>77</v>
      </c>
      <c r="D44" s="16">
        <v>49.5</v>
      </c>
      <c r="E44" s="16">
        <v>77.099999999999994</v>
      </c>
      <c r="F44" s="16">
        <v>578.79999999999995</v>
      </c>
      <c r="G44" s="19" t="s">
        <v>104</v>
      </c>
    </row>
    <row r="45" spans="2:7" x14ac:dyDescent="0.25">
      <c r="B45" s="16" t="s">
        <v>52</v>
      </c>
      <c r="C45" s="16">
        <v>120.5</v>
      </c>
      <c r="D45" s="16">
        <v>91.4</v>
      </c>
      <c r="E45" s="16">
        <v>46.8</v>
      </c>
      <c r="F45" s="16">
        <v>312.60000000000002</v>
      </c>
      <c r="G45" s="19" t="s">
        <v>106</v>
      </c>
    </row>
    <row r="46" spans="2:7" x14ac:dyDescent="0.25">
      <c r="B46" s="16" t="s">
        <v>53</v>
      </c>
      <c r="C46" s="16">
        <v>104.4</v>
      </c>
      <c r="D46" s="16">
        <v>85.3</v>
      </c>
      <c r="E46" s="16">
        <v>61.8</v>
      </c>
      <c r="F46" s="16">
        <v>93.7</v>
      </c>
      <c r="G46" s="19" t="s">
        <v>102</v>
      </c>
    </row>
    <row r="47" spans="2:7" ht="16.5" customHeight="1" x14ac:dyDescent="0.25">
      <c r="B47" s="16" t="s">
        <v>54</v>
      </c>
      <c r="C47" s="16">
        <v>74.2</v>
      </c>
      <c r="D47" s="16">
        <v>44.6</v>
      </c>
      <c r="E47" s="16">
        <v>64.5</v>
      </c>
      <c r="F47" s="16">
        <v>146.9</v>
      </c>
      <c r="G47" s="19" t="s">
        <v>103</v>
      </c>
    </row>
    <row r="48" spans="2:7" x14ac:dyDescent="0.25">
      <c r="B48" s="16" t="s">
        <v>55</v>
      </c>
      <c r="C48" s="16">
        <v>143.19999999999999</v>
      </c>
      <c r="D48" s="16">
        <v>84.1</v>
      </c>
      <c r="E48" s="16">
        <v>61.4</v>
      </c>
      <c r="F48" s="16">
        <v>279</v>
      </c>
      <c r="G48" s="19" t="s">
        <v>103</v>
      </c>
    </row>
    <row r="49" spans="2:7" x14ac:dyDescent="0.25">
      <c r="B49" s="16" t="s">
        <v>56</v>
      </c>
      <c r="C49" s="16">
        <v>85.3</v>
      </c>
      <c r="D49" s="16">
        <v>56.3</v>
      </c>
      <c r="E49" s="16">
        <v>50.9</v>
      </c>
      <c r="F49" s="16">
        <v>409.4</v>
      </c>
      <c r="G49" s="19" t="s">
        <v>100</v>
      </c>
    </row>
    <row r="50" spans="2:7" x14ac:dyDescent="0.25">
      <c r="B50" s="16" t="s">
        <v>57</v>
      </c>
      <c r="C50" s="16">
        <v>54.2</v>
      </c>
      <c r="D50" s="16">
        <v>44.3</v>
      </c>
      <c r="E50" s="16">
        <v>53.3</v>
      </c>
      <c r="F50" s="16">
        <v>164.6</v>
      </c>
      <c r="G50" s="19" t="s">
        <v>103</v>
      </c>
    </row>
    <row r="51" spans="2:7" x14ac:dyDescent="0.25">
      <c r="B51" s="16" t="s">
        <v>58</v>
      </c>
      <c r="C51" s="16">
        <v>188.8</v>
      </c>
      <c r="D51" s="16">
        <v>82.9</v>
      </c>
      <c r="E51" s="16">
        <v>45.1</v>
      </c>
      <c r="F51" s="16">
        <v>100.2</v>
      </c>
      <c r="G51" s="19" t="s">
        <v>105</v>
      </c>
    </row>
    <row r="52" spans="2:7" x14ac:dyDescent="0.25">
      <c r="B52" s="16" t="s">
        <v>59</v>
      </c>
      <c r="C52" s="16">
        <v>88.9</v>
      </c>
      <c r="D52" s="16">
        <v>50.5</v>
      </c>
      <c r="E52" s="16">
        <v>53.3</v>
      </c>
      <c r="F52" s="16">
        <v>113</v>
      </c>
      <c r="G52" s="19" t="s">
        <v>105</v>
      </c>
    </row>
    <row r="53" spans="2:7" x14ac:dyDescent="0.25">
      <c r="B53" s="16" t="s">
        <v>60</v>
      </c>
      <c r="C53" s="16">
        <v>109.1</v>
      </c>
      <c r="D53" s="16">
        <v>66.099999999999994</v>
      </c>
      <c r="E53" s="16">
        <v>56.1</v>
      </c>
      <c r="F53" s="16">
        <v>200.8</v>
      </c>
      <c r="G53" s="19" t="s">
        <v>106</v>
      </c>
    </row>
    <row r="54" spans="2:7" x14ac:dyDescent="0.25">
      <c r="B54" s="16" t="s">
        <v>61</v>
      </c>
      <c r="C54" s="16">
        <v>120.3</v>
      </c>
      <c r="D54" s="16">
        <v>80.2</v>
      </c>
      <c r="E54" s="16">
        <v>44.9</v>
      </c>
      <c r="F54" s="16">
        <v>314.60000000000002</v>
      </c>
      <c r="G54" s="19" t="s">
        <v>103</v>
      </c>
    </row>
    <row r="55" spans="2:7" x14ac:dyDescent="0.25">
      <c r="B55" s="16" t="s">
        <v>62</v>
      </c>
      <c r="C55" s="16">
        <v>66.7</v>
      </c>
      <c r="D55" s="16">
        <v>28.4</v>
      </c>
      <c r="E55" s="16">
        <v>62.6</v>
      </c>
      <c r="F55" s="16">
        <v>1.9</v>
      </c>
      <c r="G55" s="19" t="s">
        <v>106</v>
      </c>
    </row>
    <row r="56" spans="2:7" x14ac:dyDescent="0.25">
      <c r="B56" s="16" t="s">
        <v>63</v>
      </c>
      <c r="C56" s="16">
        <v>81.599999999999994</v>
      </c>
      <c r="D56" s="16">
        <v>56.8</v>
      </c>
      <c r="E56" s="16">
        <v>57.5</v>
      </c>
      <c r="F56" s="16">
        <v>24.2</v>
      </c>
      <c r="G56" s="19" t="s">
        <v>106</v>
      </c>
    </row>
    <row r="57" spans="2:7" x14ac:dyDescent="0.25">
      <c r="B57" s="16" t="s">
        <v>64</v>
      </c>
      <c r="C57" s="16">
        <v>49.2</v>
      </c>
      <c r="D57" s="16">
        <v>24.6</v>
      </c>
      <c r="E57" s="16">
        <v>73.900000000000006</v>
      </c>
      <c r="F57" s="16">
        <v>848.8</v>
      </c>
      <c r="G57" s="19" t="s">
        <v>100</v>
      </c>
    </row>
    <row r="58" spans="2:7" x14ac:dyDescent="0.25">
      <c r="B58" s="16" t="s">
        <v>65</v>
      </c>
      <c r="C58" s="16">
        <v>82.5</v>
      </c>
      <c r="D58" s="16">
        <v>34</v>
      </c>
      <c r="E58" s="16">
        <v>97.6</v>
      </c>
      <c r="F58" s="16">
        <v>2521.6</v>
      </c>
      <c r="G58" s="19" t="s">
        <v>100</v>
      </c>
    </row>
    <row r="59" spans="2:7" x14ac:dyDescent="0.25">
      <c r="B59" s="16" t="s">
        <v>66</v>
      </c>
      <c r="C59" s="16">
        <v>89.9</v>
      </c>
      <c r="D59" s="16">
        <v>78</v>
      </c>
      <c r="E59" s="16">
        <v>37.299999999999997</v>
      </c>
      <c r="F59" s="16">
        <v>5.6</v>
      </c>
      <c r="G59" s="19" t="s">
        <v>102</v>
      </c>
    </row>
    <row r="60" spans="2:7" x14ac:dyDescent="0.25">
      <c r="B60" s="16" t="s">
        <v>68</v>
      </c>
      <c r="C60" s="16">
        <v>83.8</v>
      </c>
      <c r="D60" s="16">
        <v>62.4</v>
      </c>
      <c r="E60" s="16">
        <v>62.8</v>
      </c>
      <c r="F60" s="16">
        <v>567.4</v>
      </c>
      <c r="G60" s="19" t="s">
        <v>100</v>
      </c>
    </row>
    <row r="61" spans="2:7" x14ac:dyDescent="0.25">
      <c r="B61" s="16" t="s">
        <v>69</v>
      </c>
      <c r="C61" s="16">
        <v>99.1</v>
      </c>
      <c r="D61" s="16">
        <v>48.1</v>
      </c>
      <c r="E61" s="16">
        <v>58.7</v>
      </c>
      <c r="F61" s="16">
        <v>221.7</v>
      </c>
      <c r="G61" s="19" t="s">
        <v>106</v>
      </c>
    </row>
    <row r="62" spans="2:7" x14ac:dyDescent="0.25">
      <c r="B62" s="16" t="s">
        <v>70</v>
      </c>
      <c r="C62" s="16">
        <v>123.1</v>
      </c>
      <c r="D62" s="16">
        <v>69.400000000000006</v>
      </c>
      <c r="E62" s="16">
        <v>46.5</v>
      </c>
      <c r="F62" s="16">
        <v>384.3</v>
      </c>
      <c r="G62" s="19" t="s">
        <v>100</v>
      </c>
    </row>
    <row r="63" spans="2:7" ht="16.5" customHeight="1" x14ac:dyDescent="0.25">
      <c r="B63" s="16" t="s">
        <v>71</v>
      </c>
      <c r="C63" s="16">
        <v>85.8</v>
      </c>
      <c r="D63" s="16">
        <v>57.4</v>
      </c>
      <c r="E63" s="16">
        <v>57.2</v>
      </c>
      <c r="F63" s="16">
        <v>136.80000000000001</v>
      </c>
      <c r="G63" s="19" t="s">
        <v>101</v>
      </c>
    </row>
    <row r="64" spans="2:7" x14ac:dyDescent="0.25">
      <c r="B64" s="16" t="s">
        <v>72</v>
      </c>
      <c r="C64" s="16">
        <v>111.1</v>
      </c>
      <c r="D64" s="16">
        <v>57.4</v>
      </c>
      <c r="E64" s="16">
        <v>64</v>
      </c>
      <c r="F64" s="16">
        <v>11.7</v>
      </c>
      <c r="G64" s="19" t="s">
        <v>105</v>
      </c>
    </row>
    <row r="65" spans="2:7" x14ac:dyDescent="0.25">
      <c r="B65" s="16" t="s">
        <v>73</v>
      </c>
      <c r="C65" s="16">
        <v>124.1</v>
      </c>
      <c r="D65" s="16">
        <v>61.3</v>
      </c>
      <c r="E65" s="16">
        <v>84.4</v>
      </c>
      <c r="F65" s="16">
        <v>481</v>
      </c>
      <c r="G65" s="19" t="s">
        <v>104</v>
      </c>
    </row>
    <row r="66" spans="2:7" x14ac:dyDescent="0.25">
      <c r="B66" s="16" t="s">
        <v>74</v>
      </c>
      <c r="C66" s="16">
        <v>171.2</v>
      </c>
      <c r="D66" s="16">
        <v>91.5</v>
      </c>
      <c r="E66" s="16">
        <v>48.3</v>
      </c>
      <c r="F66" s="16">
        <v>139.30000000000001</v>
      </c>
      <c r="G66" s="19" t="s">
        <v>100</v>
      </c>
    </row>
    <row r="67" spans="2:7" x14ac:dyDescent="0.25">
      <c r="B67" s="16" t="s">
        <v>75</v>
      </c>
      <c r="C67" s="16">
        <v>166.4</v>
      </c>
      <c r="D67" s="16">
        <v>79.5</v>
      </c>
      <c r="E67" s="16">
        <v>26.3</v>
      </c>
      <c r="F67" s="16">
        <v>115.8</v>
      </c>
      <c r="G67" s="19" t="s">
        <v>103</v>
      </c>
    </row>
    <row r="68" spans="2:7" x14ac:dyDescent="0.25">
      <c r="B68" s="16" t="s">
        <v>76</v>
      </c>
      <c r="C68" s="16">
        <v>93</v>
      </c>
      <c r="D68" s="16">
        <v>58.9</v>
      </c>
      <c r="E68" s="16">
        <v>71.2</v>
      </c>
      <c r="F68" s="16">
        <v>183.1</v>
      </c>
      <c r="G68" s="19" t="s">
        <v>105</v>
      </c>
    </row>
    <row r="69" spans="2:7" x14ac:dyDescent="0.25">
      <c r="B69" s="16" t="s">
        <v>77</v>
      </c>
      <c r="C69" s="16">
        <v>122.8</v>
      </c>
      <c r="D69" s="16">
        <v>50.2</v>
      </c>
      <c r="E69" s="16">
        <v>45.4</v>
      </c>
      <c r="F69" s="16">
        <v>363.3</v>
      </c>
      <c r="G69" s="19" t="s">
        <v>104</v>
      </c>
    </row>
    <row r="70" spans="2:7" ht="16.5" customHeight="1" x14ac:dyDescent="0.25">
      <c r="B70" s="16" t="s">
        <v>78</v>
      </c>
      <c r="C70" s="16">
        <v>87.2</v>
      </c>
      <c r="D70" s="16">
        <v>81</v>
      </c>
      <c r="E70" s="16">
        <v>53.4</v>
      </c>
      <c r="F70" s="16">
        <v>4.4000000000000004</v>
      </c>
      <c r="G70" s="19" t="s">
        <v>102</v>
      </c>
    </row>
    <row r="71" spans="2:7" x14ac:dyDescent="0.25">
      <c r="B71" s="16" t="s">
        <v>79</v>
      </c>
      <c r="C71" s="16">
        <v>127.1</v>
      </c>
      <c r="D71" s="16">
        <v>62</v>
      </c>
      <c r="E71" s="16">
        <v>51.4</v>
      </c>
      <c r="F71" s="16">
        <v>365.4</v>
      </c>
      <c r="G71" s="19" t="s">
        <v>100</v>
      </c>
    </row>
    <row r="72" spans="2:7" x14ac:dyDescent="0.25">
      <c r="B72" s="16" t="s">
        <v>80</v>
      </c>
      <c r="C72" s="16">
        <v>95.5</v>
      </c>
      <c r="D72" s="16">
        <v>59.8</v>
      </c>
      <c r="E72" s="16">
        <v>59.8</v>
      </c>
      <c r="F72" s="16">
        <v>518.9</v>
      </c>
      <c r="G72" s="19" t="s">
        <v>106</v>
      </c>
    </row>
    <row r="73" spans="2:7" x14ac:dyDescent="0.25">
      <c r="B73" s="16" t="s">
        <v>81</v>
      </c>
      <c r="C73" s="16">
        <v>95.1</v>
      </c>
      <c r="D73" s="16">
        <v>44.2</v>
      </c>
      <c r="E73" s="16">
        <v>62.4</v>
      </c>
      <c r="F73" s="16">
        <v>665.7</v>
      </c>
      <c r="G73" s="19" t="s">
        <v>104</v>
      </c>
    </row>
    <row r="74" spans="2:7" x14ac:dyDescent="0.25">
      <c r="B74" s="16" t="s">
        <v>82</v>
      </c>
      <c r="C74" s="16">
        <v>117</v>
      </c>
      <c r="D74" s="16">
        <v>54.8</v>
      </c>
      <c r="E74" s="16">
        <v>44.6</v>
      </c>
      <c r="F74" s="16">
        <v>33</v>
      </c>
      <c r="G74" s="19" t="s">
        <v>105</v>
      </c>
    </row>
    <row r="75" spans="2:7" x14ac:dyDescent="0.25">
      <c r="B75" s="16" t="s">
        <v>83</v>
      </c>
      <c r="C75" s="16">
        <v>113.7</v>
      </c>
      <c r="D75" s="16">
        <v>72.3</v>
      </c>
      <c r="E75" s="16">
        <v>57.3</v>
      </c>
      <c r="F75" s="16">
        <v>338.4</v>
      </c>
      <c r="G75" s="19" t="s">
        <v>100</v>
      </c>
    </row>
    <row r="76" spans="2:7" x14ac:dyDescent="0.25">
      <c r="B76" s="16" t="s">
        <v>85</v>
      </c>
      <c r="C76" s="16">
        <v>97.9</v>
      </c>
      <c r="D76" s="16">
        <v>53.7</v>
      </c>
      <c r="E76" s="16">
        <v>46.1</v>
      </c>
      <c r="F76" s="16">
        <v>34.9</v>
      </c>
      <c r="G76" s="19" t="s">
        <v>102</v>
      </c>
    </row>
    <row r="77" spans="2:7" x14ac:dyDescent="0.25">
      <c r="B77" s="16" t="s">
        <v>86</v>
      </c>
      <c r="C77" s="16">
        <v>123.1</v>
      </c>
      <c r="D77" s="16">
        <v>67.2</v>
      </c>
      <c r="E77" s="16">
        <v>41.4</v>
      </c>
      <c r="F77" s="16">
        <v>71.2</v>
      </c>
      <c r="G77" s="19" t="s">
        <v>102</v>
      </c>
    </row>
    <row r="78" spans="2:7" x14ac:dyDescent="0.25">
      <c r="B78" s="16" t="s">
        <v>88</v>
      </c>
      <c r="C78" s="16">
        <v>111.7</v>
      </c>
      <c r="D78" s="16">
        <v>68.7</v>
      </c>
      <c r="E78" s="16">
        <v>56.7</v>
      </c>
      <c r="F78" s="16">
        <v>429.3</v>
      </c>
      <c r="G78" s="19" t="s">
        <v>100</v>
      </c>
    </row>
    <row r="79" spans="2:7" x14ac:dyDescent="0.25">
      <c r="B79" s="16" t="s">
        <v>89</v>
      </c>
      <c r="C79" s="16">
        <v>115.5</v>
      </c>
      <c r="D79" s="16">
        <v>66.599999999999994</v>
      </c>
      <c r="E79" s="16">
        <v>42.9</v>
      </c>
      <c r="F79" s="16">
        <v>110.7</v>
      </c>
      <c r="G79" s="19" t="s">
        <v>106</v>
      </c>
    </row>
    <row r="80" spans="2:7" x14ac:dyDescent="0.25">
      <c r="B80" s="16" t="s">
        <v>90</v>
      </c>
      <c r="C80" s="16">
        <v>86.3</v>
      </c>
      <c r="D80" s="16">
        <v>58.1</v>
      </c>
      <c r="E80" s="16">
        <v>29.7</v>
      </c>
      <c r="F80" s="16">
        <v>153.4</v>
      </c>
      <c r="G80" s="19" t="s">
        <v>104</v>
      </c>
    </row>
    <row r="81" spans="2:7" x14ac:dyDescent="0.25">
      <c r="B81" s="16" t="s">
        <v>91</v>
      </c>
      <c r="C81" s="16">
        <v>160.4</v>
      </c>
      <c r="D81" s="16">
        <v>84.5</v>
      </c>
      <c r="E81" s="16">
        <v>43.5</v>
      </c>
      <c r="F81" s="16">
        <v>394.2</v>
      </c>
      <c r="G81" s="19" t="s">
        <v>100</v>
      </c>
    </row>
    <row r="82" spans="2:7" x14ac:dyDescent="0.25">
      <c r="B82" s="16" t="s">
        <v>92</v>
      </c>
      <c r="C82" s="16">
        <v>65.7</v>
      </c>
      <c r="D82" s="16">
        <v>23.8</v>
      </c>
      <c r="E82" s="16">
        <v>49.4</v>
      </c>
      <c r="F82" s="16">
        <v>331.2</v>
      </c>
      <c r="G82" s="19" t="s">
        <v>100</v>
      </c>
    </row>
    <row r="83" spans="2:7" x14ac:dyDescent="0.25">
      <c r="B83" s="16" t="s">
        <v>93</v>
      </c>
      <c r="C83" s="16">
        <v>82.2</v>
      </c>
      <c r="D83" s="16">
        <v>51.6</v>
      </c>
      <c r="E83" s="16">
        <v>77.3</v>
      </c>
      <c r="F83" s="16">
        <v>732</v>
      </c>
      <c r="G83" s="19" t="s">
        <v>100</v>
      </c>
    </row>
    <row r="84" spans="2:7" x14ac:dyDescent="0.25">
      <c r="B84" s="16" t="s">
        <v>94</v>
      </c>
      <c r="C84" s="16">
        <v>122.4</v>
      </c>
      <c r="D84" s="16">
        <v>57.6</v>
      </c>
      <c r="E84" s="16">
        <v>39.9</v>
      </c>
      <c r="F84" s="16">
        <v>84.8</v>
      </c>
      <c r="G84" s="19" t="s">
        <v>104</v>
      </c>
    </row>
    <row r="85" spans="2:7" x14ac:dyDescent="0.25">
      <c r="B85" s="16" t="s">
        <v>95</v>
      </c>
      <c r="C85" s="16">
        <v>67.099999999999994</v>
      </c>
      <c r="D85" s="16">
        <v>36.700000000000003</v>
      </c>
      <c r="E85" s="16">
        <v>15.7</v>
      </c>
      <c r="F85" s="16">
        <v>29.6</v>
      </c>
      <c r="G85" s="19" t="s">
        <v>106</v>
      </c>
    </row>
    <row r="86" spans="2:7" x14ac:dyDescent="0.25">
      <c r="B86" s="16" t="s">
        <v>96</v>
      </c>
      <c r="C86" s="16">
        <v>166.8</v>
      </c>
      <c r="D86" s="16">
        <v>98.9</v>
      </c>
      <c r="E86" s="16">
        <v>33.5</v>
      </c>
      <c r="F86" s="16">
        <v>37.200000000000003</v>
      </c>
      <c r="G86" s="19" t="s">
        <v>102</v>
      </c>
    </row>
    <row r="87" spans="2:7" ht="16.5" customHeight="1" x14ac:dyDescent="0.25">
      <c r="B87" s="16" t="s">
        <v>97</v>
      </c>
      <c r="C87" s="16">
        <v>105.4</v>
      </c>
      <c r="D87" s="16">
        <v>65.7</v>
      </c>
      <c r="E87" s="16">
        <v>36.299999999999997</v>
      </c>
      <c r="F87" s="16">
        <v>199.8</v>
      </c>
      <c r="G87" s="19" t="s">
        <v>105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9"/>
  <sheetViews>
    <sheetView topLeftCell="A16" zoomScaleNormal="100" workbookViewId="0">
      <selection activeCell="I26" sqref="I26:M28"/>
    </sheetView>
  </sheetViews>
  <sheetFormatPr defaultRowHeight="15" x14ac:dyDescent="0.25"/>
  <cols>
    <col min="1" max="3" width="20" customWidth="1"/>
    <col min="4" max="4" width="12.42578125" customWidth="1"/>
    <col min="5" max="5" width="14.28515625" customWidth="1"/>
    <col min="6" max="6" width="21" customWidth="1"/>
  </cols>
  <sheetData>
    <row r="3" spans="1:6" x14ac:dyDescent="0.25">
      <c r="A3" s="75" t="s">
        <v>199</v>
      </c>
      <c r="B3" t="s">
        <v>200</v>
      </c>
      <c r="C3" t="s">
        <v>235</v>
      </c>
      <c r="D3" t="s">
        <v>236</v>
      </c>
    </row>
    <row r="4" spans="1:6" x14ac:dyDescent="0.25">
      <c r="A4" s="20" t="s">
        <v>102</v>
      </c>
      <c r="B4" s="29">
        <v>10</v>
      </c>
      <c r="C4" s="29">
        <v>100.75999999999999</v>
      </c>
      <c r="D4" s="29">
        <v>996.88044444444756</v>
      </c>
    </row>
    <row r="5" spans="1:6" x14ac:dyDescent="0.25">
      <c r="A5" s="20" t="s">
        <v>103</v>
      </c>
      <c r="B5" s="29">
        <v>14</v>
      </c>
      <c r="C5" s="29">
        <v>103.94285714285715</v>
      </c>
      <c r="D5" s="29">
        <v>1018.8134065934058</v>
      </c>
    </row>
    <row r="6" spans="1:6" x14ac:dyDescent="0.25">
      <c r="A6" s="20" t="s">
        <v>106</v>
      </c>
      <c r="B6" s="29">
        <v>11</v>
      </c>
      <c r="C6" s="29">
        <v>96.390909090909091</v>
      </c>
      <c r="D6" s="29">
        <v>383.68090909090972</v>
      </c>
    </row>
    <row r="7" spans="1:6" x14ac:dyDescent="0.25">
      <c r="A7" s="20" t="s">
        <v>105</v>
      </c>
      <c r="B7" s="29">
        <v>11</v>
      </c>
      <c r="C7" s="29">
        <v>124.26363636363637</v>
      </c>
      <c r="D7" s="29">
        <v>3476.8325454545438</v>
      </c>
    </row>
    <row r="8" spans="1:6" x14ac:dyDescent="0.25">
      <c r="A8" s="20" t="s">
        <v>101</v>
      </c>
      <c r="B8" s="29">
        <v>6</v>
      </c>
      <c r="C8" s="29">
        <v>84.7</v>
      </c>
      <c r="D8" s="29">
        <v>2478.7880000000018</v>
      </c>
    </row>
    <row r="9" spans="1:6" x14ac:dyDescent="0.25">
      <c r="A9" s="20" t="s">
        <v>100</v>
      </c>
      <c r="B9" s="29">
        <v>18</v>
      </c>
      <c r="C9" s="29">
        <v>107.57222222222224</v>
      </c>
      <c r="D9" s="29">
        <v>927.54094771241512</v>
      </c>
    </row>
    <row r="10" spans="1:6" x14ac:dyDescent="0.25">
      <c r="A10" s="20" t="s">
        <v>104</v>
      </c>
      <c r="B10" s="29">
        <v>15</v>
      </c>
      <c r="C10" s="29">
        <v>104.23333333333332</v>
      </c>
      <c r="D10" s="29">
        <v>2004.8095238095307</v>
      </c>
    </row>
    <row r="11" spans="1:6" x14ac:dyDescent="0.25">
      <c r="A11" s="20" t="s">
        <v>109</v>
      </c>
      <c r="B11" s="29">
        <v>85</v>
      </c>
      <c r="C11" s="29">
        <v>104.68235294117645</v>
      </c>
      <c r="D11" s="29">
        <v>1484.9481372549033</v>
      </c>
    </row>
    <row r="16" spans="1:6" ht="220.5" x14ac:dyDescent="0.25">
      <c r="A16" s="73" t="s">
        <v>158</v>
      </c>
      <c r="B16" s="73" t="s">
        <v>200</v>
      </c>
      <c r="C16" s="73" t="s">
        <v>235</v>
      </c>
      <c r="D16" s="73" t="s">
        <v>236</v>
      </c>
      <c r="E16" s="73" t="s">
        <v>232</v>
      </c>
      <c r="F16" s="73" t="s">
        <v>234</v>
      </c>
    </row>
    <row r="17" spans="1:13" ht="15.75" x14ac:dyDescent="0.25">
      <c r="A17" s="30" t="s">
        <v>102</v>
      </c>
      <c r="B17" s="58">
        <v>10</v>
      </c>
      <c r="C17" s="58">
        <v>100.75999999999999</v>
      </c>
      <c r="D17" s="58">
        <v>996.88044444444756</v>
      </c>
      <c r="E17" s="58">
        <f>POWER(C17-$C$24,2)*B17/$B$24</f>
        <v>1.8099826582535994</v>
      </c>
      <c r="F17" s="58">
        <f>D17*B17/$B$24</f>
        <v>117.28005228758205</v>
      </c>
    </row>
    <row r="18" spans="1:13" ht="15.75" x14ac:dyDescent="0.25">
      <c r="A18" s="30" t="s">
        <v>103</v>
      </c>
      <c r="B18" s="58">
        <v>14</v>
      </c>
      <c r="C18" s="58">
        <v>103.94285714285715</v>
      </c>
      <c r="D18" s="58">
        <v>1018.8134065934058</v>
      </c>
      <c r="E18" s="58">
        <f t="shared" ref="E18:E23" si="0">POWER(C18-$C$24,2)*B18/$B$24</f>
        <v>9.0070076473488414E-2</v>
      </c>
      <c r="F18" s="58">
        <f t="shared" ref="F18:F23" si="1">D18*B18/$B$24</f>
        <v>167.80456108597272</v>
      </c>
    </row>
    <row r="19" spans="1:13" ht="15.75" x14ac:dyDescent="0.25">
      <c r="A19" s="30" t="s">
        <v>106</v>
      </c>
      <c r="B19" s="58">
        <v>11</v>
      </c>
      <c r="C19" s="58">
        <v>96.390909090909091</v>
      </c>
      <c r="D19" s="58">
        <v>383.68090909090972</v>
      </c>
      <c r="E19" s="58">
        <f t="shared" si="0"/>
        <v>8.8968053216882339</v>
      </c>
      <c r="F19" s="58">
        <f t="shared" si="1"/>
        <v>49.652823529411847</v>
      </c>
    </row>
    <row r="20" spans="1:13" ht="15.75" x14ac:dyDescent="0.25">
      <c r="A20" s="30" t="s">
        <v>105</v>
      </c>
      <c r="B20" s="58">
        <v>11</v>
      </c>
      <c r="C20" s="58">
        <v>124.26363636363637</v>
      </c>
      <c r="D20" s="58">
        <v>3476.8325454545438</v>
      </c>
      <c r="E20" s="58">
        <f t="shared" si="0"/>
        <v>49.619920766796938</v>
      </c>
      <c r="F20" s="58">
        <f t="shared" si="1"/>
        <v>449.94303529411741</v>
      </c>
    </row>
    <row r="21" spans="1:13" ht="15.75" x14ac:dyDescent="0.25">
      <c r="A21" s="30" t="s">
        <v>101</v>
      </c>
      <c r="B21" s="58">
        <v>6</v>
      </c>
      <c r="C21" s="58">
        <v>84.7</v>
      </c>
      <c r="D21" s="58">
        <v>2478.7880000000018</v>
      </c>
      <c r="E21" s="58">
        <f t="shared" si="0"/>
        <v>28.185489110523026</v>
      </c>
      <c r="F21" s="58">
        <f t="shared" si="1"/>
        <v>174.97327058823541</v>
      </c>
    </row>
    <row r="22" spans="1:13" ht="15.75" x14ac:dyDescent="0.25">
      <c r="A22" s="30" t="s">
        <v>100</v>
      </c>
      <c r="B22" s="58">
        <v>18</v>
      </c>
      <c r="C22" s="58">
        <v>107.57222222222224</v>
      </c>
      <c r="D22" s="58">
        <v>927.54094771241512</v>
      </c>
      <c r="E22" s="58">
        <f t="shared" si="0"/>
        <v>1.7685200036185651</v>
      </c>
      <c r="F22" s="58">
        <f t="shared" si="1"/>
        <v>196.42043598615851</v>
      </c>
    </row>
    <row r="23" spans="1:13" ht="15.75" x14ac:dyDescent="0.25">
      <c r="A23" s="30" t="s">
        <v>104</v>
      </c>
      <c r="B23" s="58">
        <v>15</v>
      </c>
      <c r="C23" s="58">
        <v>104.23333333333332</v>
      </c>
      <c r="D23" s="58">
        <v>2004.8095238095307</v>
      </c>
      <c r="E23" s="58">
        <f t="shared" si="0"/>
        <v>3.5579754393105067E-2</v>
      </c>
      <c r="F23" s="58">
        <f t="shared" si="1"/>
        <v>353.78991596638775</v>
      </c>
    </row>
    <row r="24" spans="1:13" ht="15.75" x14ac:dyDescent="0.25">
      <c r="A24" s="30" t="s">
        <v>109</v>
      </c>
      <c r="B24" s="58">
        <v>85</v>
      </c>
      <c r="C24" s="58">
        <v>104.68235294117645</v>
      </c>
      <c r="D24" s="58">
        <v>1484.9481372549033</v>
      </c>
      <c r="E24" s="58">
        <f>SUM(E17:E23)</f>
        <v>90.406367691746951</v>
      </c>
      <c r="F24" s="58">
        <f>SUM(F17:F23)</f>
        <v>1509.8640947378656</v>
      </c>
    </row>
    <row r="26" spans="1:13" ht="47.25" customHeight="1" x14ac:dyDescent="0.25">
      <c r="A26" s="79" t="s">
        <v>233</v>
      </c>
      <c r="B26" s="58">
        <f>F24</f>
        <v>1509.8640947378656</v>
      </c>
      <c r="I26" s="81" t="s">
        <v>238</v>
      </c>
      <c r="J26" s="82"/>
      <c r="K26" s="82"/>
      <c r="L26" s="82"/>
      <c r="M26" s="82"/>
    </row>
    <row r="27" spans="1:13" ht="31.5" x14ac:dyDescent="0.25">
      <c r="A27" s="79" t="s">
        <v>237</v>
      </c>
      <c r="B27" s="58">
        <f>E24</f>
        <v>90.406367691746951</v>
      </c>
      <c r="I27" s="58">
        <f>SUM(B26:B27)</f>
        <v>1600.2704624296125</v>
      </c>
      <c r="J27" s="58" t="s">
        <v>159</v>
      </c>
      <c r="K27" s="58">
        <f>B27</f>
        <v>90.406367691746951</v>
      </c>
      <c r="L27" s="58" t="s">
        <v>160</v>
      </c>
      <c r="M27" s="58">
        <f>B26</f>
        <v>1509.8640947378656</v>
      </c>
    </row>
    <row r="28" spans="1:13" ht="15.75" x14ac:dyDescent="0.25">
      <c r="I28" s="58">
        <f>I27/I27</f>
        <v>1</v>
      </c>
      <c r="J28" s="58" t="s">
        <v>159</v>
      </c>
      <c r="K28" s="58">
        <f>K27/I27</f>
        <v>5.6494430044335991E-2</v>
      </c>
      <c r="L28" s="58" t="s">
        <v>160</v>
      </c>
      <c r="M28" s="58">
        <f>M27/I27</f>
        <v>0.94350556995566404</v>
      </c>
    </row>
    <row r="29" spans="1:13" ht="94.5" x14ac:dyDescent="0.25">
      <c r="B29" s="78" t="s">
        <v>243</v>
      </c>
      <c r="C29" s="80" t="s">
        <v>239</v>
      </c>
    </row>
  </sheetData>
  <mergeCells count="1">
    <mergeCell ref="I26:M26"/>
  </mergeCell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7"/>
  <sheetViews>
    <sheetView topLeftCell="C10" workbookViewId="0">
      <selection activeCell="J23" sqref="J23:N25"/>
    </sheetView>
  </sheetViews>
  <sheetFormatPr defaultRowHeight="15" x14ac:dyDescent="0.25"/>
  <cols>
    <col min="1" max="1" width="26.7109375" customWidth="1"/>
    <col min="2" max="2" width="36.85546875" customWidth="1"/>
    <col min="3" max="3" width="23.28515625" customWidth="1"/>
    <col min="4" max="4" width="24.28515625" customWidth="1"/>
    <col min="5" max="5" width="28.7109375" customWidth="1"/>
    <col min="6" max="6" width="11" customWidth="1"/>
    <col min="7" max="7" width="17.7109375" customWidth="1"/>
  </cols>
  <sheetData>
    <row r="3" spans="1:7" ht="120" x14ac:dyDescent="0.25">
      <c r="A3" s="77" t="s">
        <v>199</v>
      </c>
      <c r="B3" s="76" t="s">
        <v>240</v>
      </c>
      <c r="C3" s="76" t="s">
        <v>241</v>
      </c>
      <c r="D3" s="76" t="s">
        <v>242</v>
      </c>
      <c r="E3" s="76"/>
      <c r="F3" s="76"/>
    </row>
    <row r="4" spans="1:7" x14ac:dyDescent="0.25">
      <c r="A4" s="20" t="s">
        <v>102</v>
      </c>
      <c r="B4" s="29">
        <v>10</v>
      </c>
      <c r="C4" s="29">
        <v>29.840000000000003</v>
      </c>
      <c r="D4" s="29">
        <v>986.89155555555544</v>
      </c>
    </row>
    <row r="5" spans="1:7" x14ac:dyDescent="0.25">
      <c r="A5" s="20" t="s">
        <v>103</v>
      </c>
      <c r="B5" s="29">
        <v>14</v>
      </c>
      <c r="C5" s="29">
        <v>277.91428571428571</v>
      </c>
      <c r="D5" s="29">
        <v>11933.307472527456</v>
      </c>
    </row>
    <row r="6" spans="1:7" x14ac:dyDescent="0.25">
      <c r="A6" s="20" t="s">
        <v>106</v>
      </c>
      <c r="B6" s="29">
        <v>11</v>
      </c>
      <c r="C6" s="29">
        <v>366.12727272727267</v>
      </c>
      <c r="D6" s="29">
        <v>546201.00418181834</v>
      </c>
    </row>
    <row r="7" spans="1:7" x14ac:dyDescent="0.25">
      <c r="A7" s="20" t="s">
        <v>105</v>
      </c>
      <c r="B7" s="29">
        <v>11</v>
      </c>
      <c r="C7" s="29">
        <v>78.218181818181833</v>
      </c>
      <c r="D7" s="29">
        <v>4351.4316363636362</v>
      </c>
    </row>
    <row r="8" spans="1:7" x14ac:dyDescent="0.25">
      <c r="A8" s="20" t="s">
        <v>101</v>
      </c>
      <c r="B8" s="29">
        <v>6</v>
      </c>
      <c r="C8" s="29">
        <v>103.96666666666665</v>
      </c>
      <c r="D8" s="29">
        <v>8269.3306666666722</v>
      </c>
    </row>
    <row r="9" spans="1:7" x14ac:dyDescent="0.25">
      <c r="A9" s="20" t="s">
        <v>100</v>
      </c>
      <c r="B9" s="29">
        <v>18</v>
      </c>
      <c r="C9" s="29">
        <v>518.86666666666667</v>
      </c>
      <c r="D9" s="29">
        <v>278007.04588235292</v>
      </c>
    </row>
    <row r="10" spans="1:7" x14ac:dyDescent="0.25">
      <c r="A10" s="20" t="s">
        <v>104</v>
      </c>
      <c r="B10" s="29">
        <v>15</v>
      </c>
      <c r="C10" s="29">
        <v>501.84000000000003</v>
      </c>
      <c r="D10" s="29">
        <v>107222.4139999999</v>
      </c>
    </row>
    <row r="11" spans="1:7" x14ac:dyDescent="0.25">
      <c r="A11" s="20" t="s">
        <v>109</v>
      </c>
      <c r="B11" s="29">
        <v>85</v>
      </c>
      <c r="C11" s="29">
        <v>312.56470588235305</v>
      </c>
      <c r="D11" s="29">
        <v>178029.35564425756</v>
      </c>
    </row>
    <row r="13" spans="1:7" ht="132" customHeight="1" x14ac:dyDescent="0.25">
      <c r="B13" s="73" t="s">
        <v>158</v>
      </c>
      <c r="C13" s="73" t="s">
        <v>240</v>
      </c>
      <c r="D13" s="73" t="s">
        <v>107</v>
      </c>
      <c r="E13" s="73" t="s">
        <v>242</v>
      </c>
      <c r="F13" s="73" t="s">
        <v>232</v>
      </c>
      <c r="G13" s="73" t="s">
        <v>234</v>
      </c>
    </row>
    <row r="14" spans="1:7" ht="15.75" x14ac:dyDescent="0.25">
      <c r="B14" s="58" t="s">
        <v>102</v>
      </c>
      <c r="C14" s="58">
        <v>10</v>
      </c>
      <c r="D14" s="58">
        <v>29.840000000000003</v>
      </c>
      <c r="E14" s="58">
        <v>986.89155555555544</v>
      </c>
      <c r="F14" s="58">
        <f>POWER(D14-$D$21,2)*C14/$C$21</f>
        <v>9403.9128607368293</v>
      </c>
      <c r="G14" s="58">
        <f>E14*C14/$C$21</f>
        <v>116.10488888888888</v>
      </c>
    </row>
    <row r="15" spans="1:7" ht="15.75" x14ac:dyDescent="0.25">
      <c r="B15" s="58" t="s">
        <v>103</v>
      </c>
      <c r="C15" s="58">
        <v>14</v>
      </c>
      <c r="D15" s="58">
        <v>277.91428571428571</v>
      </c>
      <c r="E15" s="58">
        <v>11933.307472527456</v>
      </c>
      <c r="F15" s="58">
        <f t="shared" ref="F15:F20" si="0">POWER(D15-$D$21,2)*C15/$C$21</f>
        <v>197.75438411212363</v>
      </c>
      <c r="G15" s="58">
        <f t="shared" ref="G15:G20" si="1">E15*C15/$C$21</f>
        <v>1965.4859366515809</v>
      </c>
    </row>
    <row r="16" spans="1:7" ht="15.75" x14ac:dyDescent="0.25">
      <c r="B16" s="58" t="s">
        <v>106</v>
      </c>
      <c r="C16" s="58">
        <v>11</v>
      </c>
      <c r="D16" s="58">
        <v>366.12727272727267</v>
      </c>
      <c r="E16" s="58">
        <v>546201.00418181834</v>
      </c>
      <c r="F16" s="58">
        <f t="shared" si="0"/>
        <v>371.27569690801533</v>
      </c>
      <c r="G16" s="58">
        <f t="shared" si="1"/>
        <v>70684.835835294143</v>
      </c>
    </row>
    <row r="17" spans="2:14" ht="15.75" x14ac:dyDescent="0.25">
      <c r="B17" s="58" t="s">
        <v>105</v>
      </c>
      <c r="C17" s="58">
        <v>11</v>
      </c>
      <c r="D17" s="58">
        <v>78.218181818181833</v>
      </c>
      <c r="E17" s="58">
        <v>4351.4316363636362</v>
      </c>
      <c r="F17" s="58">
        <f t="shared" si="0"/>
        <v>7107.073255888834</v>
      </c>
      <c r="G17" s="58">
        <f t="shared" si="1"/>
        <v>563.12644705882349</v>
      </c>
    </row>
    <row r="18" spans="2:14" ht="15.75" x14ac:dyDescent="0.25">
      <c r="B18" s="58" t="s">
        <v>101</v>
      </c>
      <c r="C18" s="58">
        <v>6</v>
      </c>
      <c r="D18" s="58">
        <v>103.96666666666665</v>
      </c>
      <c r="E18" s="58">
        <v>8269.3306666666722</v>
      </c>
      <c r="F18" s="58">
        <f t="shared" si="0"/>
        <v>3071.5159033855798</v>
      </c>
      <c r="G18" s="58">
        <f t="shared" si="1"/>
        <v>583.7174588235298</v>
      </c>
    </row>
    <row r="19" spans="2:14" ht="15.75" x14ac:dyDescent="0.25">
      <c r="B19" s="58" t="s">
        <v>100</v>
      </c>
      <c r="C19" s="58">
        <v>18</v>
      </c>
      <c r="D19" s="58">
        <v>518.86666666666667</v>
      </c>
      <c r="E19" s="58">
        <v>278007.04588235292</v>
      </c>
      <c r="F19" s="58">
        <f t="shared" si="0"/>
        <v>9012.811557907582</v>
      </c>
      <c r="G19" s="58">
        <f t="shared" si="1"/>
        <v>58872.080304498268</v>
      </c>
    </row>
    <row r="20" spans="2:14" ht="15.75" x14ac:dyDescent="0.25">
      <c r="B20" s="58" t="s">
        <v>104</v>
      </c>
      <c r="C20" s="58">
        <v>15</v>
      </c>
      <c r="D20" s="58">
        <v>501.84000000000003</v>
      </c>
      <c r="E20" s="58">
        <v>107222.4139999999</v>
      </c>
      <c r="F20" s="58">
        <f t="shared" si="0"/>
        <v>6322.0829935273705</v>
      </c>
      <c r="G20" s="58">
        <f t="shared" si="1"/>
        <v>18921.602470588219</v>
      </c>
    </row>
    <row r="21" spans="2:14" ht="15.75" x14ac:dyDescent="0.25">
      <c r="B21" s="58" t="s">
        <v>109</v>
      </c>
      <c r="C21" s="58">
        <v>85</v>
      </c>
      <c r="D21" s="58">
        <v>312.56470588235305</v>
      </c>
      <c r="E21" s="58">
        <v>178029.35564425756</v>
      </c>
      <c r="F21" s="58">
        <f>SUM(F14:F20)</f>
        <v>35486.42665246634</v>
      </c>
      <c r="G21" s="58">
        <f>SUM(G14:G20)</f>
        <v>151706.95334180346</v>
      </c>
    </row>
    <row r="23" spans="2:14" ht="31.5" customHeight="1" x14ac:dyDescent="0.25">
      <c r="B23" s="79" t="s">
        <v>233</v>
      </c>
      <c r="C23" s="58">
        <f>G21</f>
        <v>151706.95334180346</v>
      </c>
      <c r="J23" s="81" t="s">
        <v>238</v>
      </c>
      <c r="K23" s="82"/>
      <c r="L23" s="82"/>
      <c r="M23" s="82"/>
      <c r="N23" s="82"/>
    </row>
    <row r="24" spans="2:14" ht="15.75" x14ac:dyDescent="0.25">
      <c r="B24" s="79" t="s">
        <v>237</v>
      </c>
      <c r="C24" s="58">
        <f>F21</f>
        <v>35486.42665246634</v>
      </c>
      <c r="J24" s="58">
        <f>SUM(F21:G21)</f>
        <v>187193.37999426981</v>
      </c>
      <c r="K24" s="58" t="s">
        <v>159</v>
      </c>
      <c r="L24" s="58">
        <f>F21</f>
        <v>35486.42665246634</v>
      </c>
      <c r="M24" s="58" t="s">
        <v>160</v>
      </c>
      <c r="N24" s="58">
        <f>G21</f>
        <v>151706.95334180346</v>
      </c>
    </row>
    <row r="25" spans="2:14" ht="15.75" x14ac:dyDescent="0.25">
      <c r="J25" s="58">
        <f>J24/J24</f>
        <v>1</v>
      </c>
      <c r="K25" s="58" t="s">
        <v>159</v>
      </c>
      <c r="L25" s="58">
        <f>L24/J24</f>
        <v>0.189570948788641</v>
      </c>
      <c r="M25" s="58" t="s">
        <v>160</v>
      </c>
      <c r="N25" s="58">
        <f>N24/J24</f>
        <v>0.81042905121135889</v>
      </c>
    </row>
    <row r="27" spans="2:14" ht="78.75" x14ac:dyDescent="0.25">
      <c r="B27" s="62" t="s">
        <v>243</v>
      </c>
      <c r="C27" s="80" t="s">
        <v>244</v>
      </c>
    </row>
  </sheetData>
  <mergeCells count="1">
    <mergeCell ref="J23:N23"/>
  </mergeCell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7"/>
  <sheetViews>
    <sheetView zoomScaleNormal="100" workbookViewId="0">
      <selection activeCell="C2" sqref="C2"/>
    </sheetView>
  </sheetViews>
  <sheetFormatPr defaultColWidth="8.7109375" defaultRowHeight="15" x14ac:dyDescent="0.25"/>
  <cols>
    <col min="2" max="2" width="14" style="46" customWidth="1"/>
    <col min="3" max="3" width="19.42578125" customWidth="1"/>
    <col min="4" max="4" width="21.7109375" customWidth="1"/>
    <col min="5" max="5" width="20.5703125" style="17" customWidth="1"/>
    <col min="6" max="6" width="29" customWidth="1"/>
    <col min="7" max="7" width="39.140625" customWidth="1"/>
  </cols>
  <sheetData>
    <row r="2" spans="2:5" ht="105" customHeight="1" x14ac:dyDescent="0.25">
      <c r="B2" s="56" t="s">
        <v>1</v>
      </c>
      <c r="C2" s="56" t="s">
        <v>2</v>
      </c>
      <c r="D2" s="56" t="s">
        <v>6</v>
      </c>
      <c r="E2" s="56" t="s">
        <v>99</v>
      </c>
    </row>
    <row r="3" spans="2:5" ht="30" x14ac:dyDescent="0.25">
      <c r="B3" s="57" t="s">
        <v>7</v>
      </c>
      <c r="C3" s="57">
        <v>133.30000000000001</v>
      </c>
      <c r="D3" s="57">
        <v>287.10000000000002</v>
      </c>
      <c r="E3" s="57" t="s">
        <v>100</v>
      </c>
    </row>
    <row r="4" spans="2:5" ht="60" x14ac:dyDescent="0.25">
      <c r="B4" s="57" t="s">
        <v>8</v>
      </c>
      <c r="C4" s="57">
        <v>42.5</v>
      </c>
      <c r="D4" s="57">
        <v>3.7</v>
      </c>
      <c r="E4" s="57" t="s">
        <v>101</v>
      </c>
    </row>
    <row r="5" spans="2:5" ht="45" x14ac:dyDescent="0.25">
      <c r="B5" s="57" t="s">
        <v>9</v>
      </c>
      <c r="C5" s="57">
        <v>46.7</v>
      </c>
      <c r="D5" s="57">
        <v>1.3</v>
      </c>
      <c r="E5" s="57" t="s">
        <v>102</v>
      </c>
    </row>
    <row r="6" spans="2:5" ht="30" x14ac:dyDescent="0.25">
      <c r="B6" s="57" t="s">
        <v>10</v>
      </c>
      <c r="C6" s="57">
        <v>95.1</v>
      </c>
      <c r="D6" s="57">
        <v>471.7</v>
      </c>
      <c r="E6" s="57" t="s">
        <v>103</v>
      </c>
    </row>
    <row r="7" spans="2:5" ht="30" x14ac:dyDescent="0.25">
      <c r="B7" s="57" t="s">
        <v>11</v>
      </c>
      <c r="C7" s="57">
        <v>11.1</v>
      </c>
      <c r="D7" s="57">
        <v>651.70000000000005</v>
      </c>
      <c r="E7" s="57" t="s">
        <v>104</v>
      </c>
    </row>
    <row r="8" spans="2:5" ht="30" x14ac:dyDescent="0.25">
      <c r="B8" s="57" t="s">
        <v>12</v>
      </c>
      <c r="C8" s="57">
        <v>96.7</v>
      </c>
      <c r="D8" s="57">
        <v>248.6</v>
      </c>
      <c r="E8" s="57" t="s">
        <v>101</v>
      </c>
    </row>
    <row r="9" spans="2:5" ht="75" x14ac:dyDescent="0.25">
      <c r="B9" s="57" t="s">
        <v>16</v>
      </c>
      <c r="C9" s="57">
        <v>53.9</v>
      </c>
      <c r="D9" s="57">
        <v>11.7</v>
      </c>
      <c r="E9" s="57" t="s">
        <v>101</v>
      </c>
    </row>
    <row r="10" spans="2:5" ht="30" x14ac:dyDescent="0.25">
      <c r="B10" s="57" t="s">
        <v>17</v>
      </c>
      <c r="C10" s="57">
        <v>110.7</v>
      </c>
      <c r="D10" s="57">
        <v>12.8</v>
      </c>
      <c r="E10" s="57" t="s">
        <v>102</v>
      </c>
    </row>
    <row r="11" spans="2:5" ht="30" x14ac:dyDescent="0.25">
      <c r="B11" s="57" t="s">
        <v>18</v>
      </c>
      <c r="C11" s="57">
        <v>88.1</v>
      </c>
      <c r="D11" s="57">
        <v>262.60000000000002</v>
      </c>
      <c r="E11" s="57" t="s">
        <v>103</v>
      </c>
    </row>
    <row r="12" spans="2:5" ht="30" x14ac:dyDescent="0.25">
      <c r="B12" s="57" t="s">
        <v>19</v>
      </c>
      <c r="C12" s="57">
        <v>112.8</v>
      </c>
      <c r="D12" s="57">
        <v>269.60000000000002</v>
      </c>
      <c r="E12" s="57" t="s">
        <v>103</v>
      </c>
    </row>
    <row r="13" spans="2:5" ht="30" x14ac:dyDescent="0.25">
      <c r="B13" s="57" t="s">
        <v>20</v>
      </c>
      <c r="C13" s="57">
        <v>176.8</v>
      </c>
      <c r="D13" s="57">
        <v>93.2</v>
      </c>
      <c r="E13" s="57" t="s">
        <v>101</v>
      </c>
    </row>
    <row r="14" spans="2:5" ht="30" x14ac:dyDescent="0.25">
      <c r="B14" s="57" t="s">
        <v>21</v>
      </c>
      <c r="C14" s="57">
        <v>108.6</v>
      </c>
      <c r="D14" s="57">
        <v>413.1</v>
      </c>
      <c r="E14" s="57" t="s">
        <v>100</v>
      </c>
    </row>
    <row r="15" spans="2:5" ht="30" x14ac:dyDescent="0.25">
      <c r="B15" s="57" t="s">
        <v>22</v>
      </c>
      <c r="C15" s="57">
        <v>49.4</v>
      </c>
      <c r="D15" s="57">
        <v>25.6</v>
      </c>
      <c r="E15" s="57" t="s">
        <v>105</v>
      </c>
    </row>
    <row r="16" spans="2:5" ht="30" x14ac:dyDescent="0.25">
      <c r="B16" s="57" t="s">
        <v>23</v>
      </c>
      <c r="C16" s="57">
        <v>108.4</v>
      </c>
      <c r="D16" s="57">
        <v>257.5</v>
      </c>
      <c r="E16" s="57" t="s">
        <v>100</v>
      </c>
    </row>
    <row r="17" spans="2:5" ht="30" x14ac:dyDescent="0.25">
      <c r="B17" s="57" t="s">
        <v>24</v>
      </c>
      <c r="C17" s="57">
        <v>104.1</v>
      </c>
      <c r="D17" s="57">
        <v>299.2</v>
      </c>
      <c r="E17" s="57" t="s">
        <v>100</v>
      </c>
    </row>
    <row r="18" spans="2:5" ht="30" x14ac:dyDescent="0.25">
      <c r="B18" s="57" t="s">
        <v>25</v>
      </c>
      <c r="C18" s="57">
        <v>118.1</v>
      </c>
      <c r="D18" s="57">
        <v>280.7</v>
      </c>
      <c r="E18" s="57" t="s">
        <v>104</v>
      </c>
    </row>
    <row r="19" spans="2:5" ht="30" x14ac:dyDescent="0.25">
      <c r="B19" s="57" t="s">
        <v>26</v>
      </c>
      <c r="C19" s="57">
        <v>116.4</v>
      </c>
      <c r="D19" s="57">
        <v>336.6</v>
      </c>
      <c r="E19" s="57" t="s">
        <v>100</v>
      </c>
    </row>
    <row r="20" spans="2:5" ht="30" x14ac:dyDescent="0.25">
      <c r="B20" s="57" t="s">
        <v>27</v>
      </c>
      <c r="C20" s="57">
        <v>125.8</v>
      </c>
      <c r="D20" s="57">
        <v>1213.5</v>
      </c>
      <c r="E20" s="57" t="s">
        <v>104</v>
      </c>
    </row>
    <row r="21" spans="2:5" ht="30" x14ac:dyDescent="0.25">
      <c r="B21" s="57" t="s">
        <v>28</v>
      </c>
      <c r="C21" s="57">
        <v>52.5</v>
      </c>
      <c r="D21" s="57">
        <v>129.80000000000001</v>
      </c>
      <c r="E21" s="57" t="s">
        <v>101</v>
      </c>
    </row>
    <row r="22" spans="2:5" ht="30" x14ac:dyDescent="0.25">
      <c r="B22" s="57" t="s">
        <v>29</v>
      </c>
      <c r="C22" s="57">
        <v>73.8</v>
      </c>
      <c r="D22" s="57">
        <v>33.200000000000003</v>
      </c>
      <c r="E22" s="57" t="s">
        <v>102</v>
      </c>
    </row>
    <row r="23" spans="2:5" ht="30" x14ac:dyDescent="0.25">
      <c r="B23" s="57" t="s">
        <v>30</v>
      </c>
      <c r="C23" s="57">
        <v>114.5</v>
      </c>
      <c r="D23" s="57">
        <v>181.7</v>
      </c>
      <c r="E23" s="57" t="s">
        <v>103</v>
      </c>
    </row>
    <row r="24" spans="2:5" ht="30" x14ac:dyDescent="0.25">
      <c r="B24" s="57" t="s">
        <v>31</v>
      </c>
      <c r="C24" s="57">
        <v>89.6</v>
      </c>
      <c r="D24" s="57">
        <v>2542.4</v>
      </c>
      <c r="E24" s="57" t="s">
        <v>106</v>
      </c>
    </row>
    <row r="25" spans="2:5" ht="30" x14ac:dyDescent="0.25">
      <c r="B25" s="57" t="s">
        <v>32</v>
      </c>
      <c r="C25" s="57">
        <v>104.8</v>
      </c>
      <c r="D25" s="57">
        <v>352.1</v>
      </c>
      <c r="E25" s="57" t="s">
        <v>103</v>
      </c>
    </row>
    <row r="26" spans="2:5" ht="30" x14ac:dyDescent="0.25">
      <c r="B26" s="57" t="s">
        <v>33</v>
      </c>
      <c r="C26" s="57">
        <v>109.6</v>
      </c>
      <c r="D26" s="57">
        <v>284.8</v>
      </c>
      <c r="E26" s="57" t="s">
        <v>100</v>
      </c>
    </row>
    <row r="27" spans="2:5" ht="30" x14ac:dyDescent="0.25">
      <c r="B27" s="57" t="s">
        <v>34</v>
      </c>
      <c r="C27" s="57">
        <v>76.599999999999994</v>
      </c>
      <c r="D27" s="57">
        <v>272.8</v>
      </c>
      <c r="E27" s="57" t="s">
        <v>104</v>
      </c>
    </row>
    <row r="28" spans="2:5" ht="30" x14ac:dyDescent="0.25">
      <c r="B28" s="57" t="s">
        <v>35</v>
      </c>
      <c r="C28" s="57">
        <v>82.9</v>
      </c>
      <c r="D28" s="57">
        <v>94.6</v>
      </c>
      <c r="E28" s="57" t="s">
        <v>105</v>
      </c>
    </row>
    <row r="29" spans="2:5" ht="30" x14ac:dyDescent="0.25">
      <c r="B29" s="57" t="s">
        <v>36</v>
      </c>
      <c r="C29" s="57">
        <v>265.10000000000002</v>
      </c>
      <c r="D29" s="57">
        <v>22.2</v>
      </c>
      <c r="E29" s="57" t="s">
        <v>105</v>
      </c>
    </row>
    <row r="30" spans="2:5" ht="30" x14ac:dyDescent="0.25">
      <c r="B30" s="57" t="s">
        <v>37</v>
      </c>
      <c r="C30" s="57">
        <v>97</v>
      </c>
      <c r="D30" s="57">
        <v>476</v>
      </c>
      <c r="E30" s="57" t="s">
        <v>103</v>
      </c>
    </row>
    <row r="31" spans="2:5" ht="60" x14ac:dyDescent="0.25">
      <c r="B31" s="57" t="s">
        <v>38</v>
      </c>
      <c r="C31" s="57">
        <v>131.5</v>
      </c>
      <c r="D31" s="57">
        <v>716.9</v>
      </c>
      <c r="E31" s="57" t="s">
        <v>104</v>
      </c>
    </row>
    <row r="32" spans="2:5" ht="30" x14ac:dyDescent="0.25">
      <c r="B32" s="57" t="s">
        <v>39</v>
      </c>
      <c r="C32" s="57">
        <v>107.1</v>
      </c>
      <c r="D32" s="57">
        <v>4.0999999999999996</v>
      </c>
      <c r="E32" s="57" t="s">
        <v>102</v>
      </c>
    </row>
    <row r="33" spans="2:5" ht="30" x14ac:dyDescent="0.25">
      <c r="B33" s="57" t="s">
        <v>40</v>
      </c>
      <c r="C33" s="57">
        <v>77.400000000000006</v>
      </c>
      <c r="D33" s="57">
        <v>305</v>
      </c>
      <c r="E33" s="57" t="s">
        <v>103</v>
      </c>
    </row>
    <row r="34" spans="2:5" ht="30" x14ac:dyDescent="0.25">
      <c r="B34" s="57" t="s">
        <v>41</v>
      </c>
      <c r="C34" s="57">
        <v>141.69999999999999</v>
      </c>
      <c r="D34" s="57">
        <v>226.1</v>
      </c>
      <c r="E34" s="57" t="s">
        <v>103</v>
      </c>
    </row>
    <row r="35" spans="2:5" ht="30" x14ac:dyDescent="0.25">
      <c r="B35" s="57" t="s">
        <v>42</v>
      </c>
      <c r="C35" s="57">
        <v>98.4</v>
      </c>
      <c r="D35" s="57">
        <v>511.7</v>
      </c>
      <c r="E35" s="57" t="s">
        <v>104</v>
      </c>
    </row>
    <row r="36" spans="2:5" ht="30" x14ac:dyDescent="0.25">
      <c r="B36" s="57" t="s">
        <v>43</v>
      </c>
      <c r="C36" s="57">
        <v>122.9</v>
      </c>
      <c r="D36" s="57">
        <v>16.5</v>
      </c>
      <c r="E36" s="57" t="s">
        <v>106</v>
      </c>
    </row>
    <row r="37" spans="2:5" ht="30" x14ac:dyDescent="0.25">
      <c r="B37" s="57" t="s">
        <v>44</v>
      </c>
      <c r="C37" s="57">
        <v>92.7</v>
      </c>
      <c r="D37" s="57">
        <v>48.1</v>
      </c>
      <c r="E37" s="57" t="s">
        <v>106</v>
      </c>
    </row>
    <row r="38" spans="2:5" ht="30" x14ac:dyDescent="0.25">
      <c r="B38" s="57" t="s">
        <v>45</v>
      </c>
      <c r="C38" s="57">
        <v>219.4</v>
      </c>
      <c r="D38" s="57">
        <v>51.3</v>
      </c>
      <c r="E38" s="57" t="s">
        <v>104</v>
      </c>
    </row>
    <row r="39" spans="2:5" ht="30" x14ac:dyDescent="0.25">
      <c r="B39" s="57" t="s">
        <v>46</v>
      </c>
      <c r="C39" s="57">
        <v>65.599999999999994</v>
      </c>
      <c r="D39" s="57">
        <v>1024.5</v>
      </c>
      <c r="E39" s="57" t="s">
        <v>104</v>
      </c>
    </row>
    <row r="40" spans="2:5" ht="30" x14ac:dyDescent="0.25">
      <c r="B40" s="57" t="s">
        <v>47</v>
      </c>
      <c r="C40" s="57">
        <v>89.3</v>
      </c>
      <c r="D40" s="57">
        <v>477.5</v>
      </c>
      <c r="E40" s="57" t="s">
        <v>104</v>
      </c>
    </row>
    <row r="41" spans="2:5" ht="30" x14ac:dyDescent="0.25">
      <c r="B41" s="57" t="s">
        <v>48</v>
      </c>
      <c r="C41" s="57">
        <v>116.8</v>
      </c>
      <c r="D41" s="57">
        <v>27.3</v>
      </c>
      <c r="E41" s="57" t="s">
        <v>105</v>
      </c>
    </row>
    <row r="42" spans="2:5" ht="30" x14ac:dyDescent="0.25">
      <c r="B42" s="57" t="s">
        <v>49</v>
      </c>
      <c r="C42" s="57">
        <v>65.5</v>
      </c>
      <c r="D42" s="57">
        <v>325.10000000000002</v>
      </c>
      <c r="E42" s="57" t="s">
        <v>103</v>
      </c>
    </row>
    <row r="43" spans="2:5" ht="30" x14ac:dyDescent="0.25">
      <c r="B43" s="57" t="s">
        <v>50</v>
      </c>
      <c r="C43" s="57">
        <v>148.5</v>
      </c>
      <c r="D43" s="57">
        <v>49.9</v>
      </c>
      <c r="E43" s="57" t="s">
        <v>105</v>
      </c>
    </row>
    <row r="44" spans="2:5" ht="30" x14ac:dyDescent="0.25">
      <c r="B44" s="57" t="s">
        <v>51</v>
      </c>
      <c r="C44" s="57">
        <v>77</v>
      </c>
      <c r="D44" s="57">
        <v>578.79999999999995</v>
      </c>
      <c r="E44" s="57" t="s">
        <v>104</v>
      </c>
    </row>
    <row r="45" spans="2:5" ht="30" x14ac:dyDescent="0.25">
      <c r="B45" s="57" t="s">
        <v>52</v>
      </c>
      <c r="C45" s="57">
        <v>120.5</v>
      </c>
      <c r="D45" s="57">
        <v>312.60000000000002</v>
      </c>
      <c r="E45" s="57" t="s">
        <v>106</v>
      </c>
    </row>
    <row r="46" spans="2:5" ht="30" x14ac:dyDescent="0.25">
      <c r="B46" s="57" t="s">
        <v>53</v>
      </c>
      <c r="C46" s="57">
        <v>104.4</v>
      </c>
      <c r="D46" s="57">
        <v>93.7</v>
      </c>
      <c r="E46" s="57" t="s">
        <v>102</v>
      </c>
    </row>
    <row r="47" spans="2:5" ht="30" x14ac:dyDescent="0.25">
      <c r="B47" s="57" t="s">
        <v>54</v>
      </c>
      <c r="C47" s="57">
        <v>74.2</v>
      </c>
      <c r="D47" s="57">
        <v>146.9</v>
      </c>
      <c r="E47" s="57" t="s">
        <v>103</v>
      </c>
    </row>
    <row r="48" spans="2:5" ht="30" x14ac:dyDescent="0.25">
      <c r="B48" s="57" t="s">
        <v>55</v>
      </c>
      <c r="C48" s="57">
        <v>143.19999999999999</v>
      </c>
      <c r="D48" s="57">
        <v>279</v>
      </c>
      <c r="E48" s="57" t="s">
        <v>103</v>
      </c>
    </row>
    <row r="49" spans="2:5" ht="30" x14ac:dyDescent="0.25">
      <c r="B49" s="57" t="s">
        <v>56</v>
      </c>
      <c r="C49" s="57">
        <v>85.3</v>
      </c>
      <c r="D49" s="57">
        <v>409.4</v>
      </c>
      <c r="E49" s="57" t="s">
        <v>100</v>
      </c>
    </row>
    <row r="50" spans="2:5" ht="30" x14ac:dyDescent="0.25">
      <c r="B50" s="57" t="s">
        <v>57</v>
      </c>
      <c r="C50" s="57">
        <v>54.2</v>
      </c>
      <c r="D50" s="57">
        <v>164.6</v>
      </c>
      <c r="E50" s="57" t="s">
        <v>103</v>
      </c>
    </row>
    <row r="51" spans="2:5" ht="30" x14ac:dyDescent="0.25">
      <c r="B51" s="57" t="s">
        <v>58</v>
      </c>
      <c r="C51" s="57">
        <v>188.8</v>
      </c>
      <c r="D51" s="57">
        <v>100.2</v>
      </c>
      <c r="E51" s="57" t="s">
        <v>105</v>
      </c>
    </row>
    <row r="52" spans="2:5" ht="30" x14ac:dyDescent="0.25">
      <c r="B52" s="57" t="s">
        <v>59</v>
      </c>
      <c r="C52" s="57">
        <v>88.9</v>
      </c>
      <c r="D52" s="57">
        <v>113</v>
      </c>
      <c r="E52" s="57" t="s">
        <v>105</v>
      </c>
    </row>
    <row r="53" spans="2:5" ht="30" x14ac:dyDescent="0.25">
      <c r="B53" s="57" t="s">
        <v>60</v>
      </c>
      <c r="C53" s="57">
        <v>109.1</v>
      </c>
      <c r="D53" s="57">
        <v>200.8</v>
      </c>
      <c r="E53" s="57" t="s">
        <v>106</v>
      </c>
    </row>
    <row r="54" spans="2:5" ht="30" x14ac:dyDescent="0.25">
      <c r="B54" s="57" t="s">
        <v>61</v>
      </c>
      <c r="C54" s="57">
        <v>120.3</v>
      </c>
      <c r="D54" s="57">
        <v>314.60000000000002</v>
      </c>
      <c r="E54" s="57" t="s">
        <v>103</v>
      </c>
    </row>
    <row r="55" spans="2:5" ht="45" x14ac:dyDescent="0.25">
      <c r="B55" s="57" t="s">
        <v>62</v>
      </c>
      <c r="C55" s="57">
        <v>66.7</v>
      </c>
      <c r="D55" s="57">
        <v>1.9</v>
      </c>
      <c r="E55" s="57" t="s">
        <v>106</v>
      </c>
    </row>
    <row r="56" spans="2:5" ht="30" x14ac:dyDescent="0.25">
      <c r="B56" s="57" t="s">
        <v>63</v>
      </c>
      <c r="C56" s="57">
        <v>81.599999999999994</v>
      </c>
      <c r="D56" s="57">
        <v>24.2</v>
      </c>
      <c r="E56" s="57" t="s">
        <v>106</v>
      </c>
    </row>
    <row r="57" spans="2:5" ht="30" x14ac:dyDescent="0.25">
      <c r="B57" s="57" t="s">
        <v>64</v>
      </c>
      <c r="C57" s="57">
        <v>49.2</v>
      </c>
      <c r="D57" s="57">
        <v>848.8</v>
      </c>
      <c r="E57" s="57" t="s">
        <v>100</v>
      </c>
    </row>
    <row r="58" spans="2:5" ht="30" x14ac:dyDescent="0.25">
      <c r="B58" s="57" t="s">
        <v>65</v>
      </c>
      <c r="C58" s="57">
        <v>82.5</v>
      </c>
      <c r="D58" s="57">
        <v>2521.6</v>
      </c>
      <c r="E58" s="57" t="s">
        <v>100</v>
      </c>
    </row>
    <row r="59" spans="2:5" ht="30" x14ac:dyDescent="0.25">
      <c r="B59" s="57" t="s">
        <v>66</v>
      </c>
      <c r="C59" s="57">
        <v>89.9</v>
      </c>
      <c r="D59" s="57">
        <v>5.6</v>
      </c>
      <c r="E59" s="57" t="s">
        <v>102</v>
      </c>
    </row>
    <row r="60" spans="2:5" ht="30" x14ac:dyDescent="0.25">
      <c r="B60" s="57" t="s">
        <v>68</v>
      </c>
      <c r="C60" s="57">
        <v>83.8</v>
      </c>
      <c r="D60" s="57">
        <v>567.4</v>
      </c>
      <c r="E60" s="57" t="s">
        <v>100</v>
      </c>
    </row>
    <row r="61" spans="2:5" ht="30" x14ac:dyDescent="0.25">
      <c r="B61" s="57" t="s">
        <v>69</v>
      </c>
      <c r="C61" s="57">
        <v>99.1</v>
      </c>
      <c r="D61" s="57">
        <v>221.7</v>
      </c>
      <c r="E61" s="57" t="s">
        <v>106</v>
      </c>
    </row>
    <row r="62" spans="2:5" ht="30" x14ac:dyDescent="0.25">
      <c r="B62" s="57" t="s">
        <v>70</v>
      </c>
      <c r="C62" s="57">
        <v>123.1</v>
      </c>
      <c r="D62" s="57">
        <v>384.3</v>
      </c>
      <c r="E62" s="57" t="s">
        <v>100</v>
      </c>
    </row>
    <row r="63" spans="2:5" ht="30" x14ac:dyDescent="0.25">
      <c r="B63" s="57" t="s">
        <v>71</v>
      </c>
      <c r="C63" s="57">
        <v>85.8</v>
      </c>
      <c r="D63" s="57">
        <v>136.80000000000001</v>
      </c>
      <c r="E63" s="57" t="s">
        <v>101</v>
      </c>
    </row>
    <row r="64" spans="2:5" ht="30" x14ac:dyDescent="0.25">
      <c r="B64" s="57" t="s">
        <v>72</v>
      </c>
      <c r="C64" s="57">
        <v>111.1</v>
      </c>
      <c r="D64" s="57">
        <v>11.7</v>
      </c>
      <c r="E64" s="57" t="s">
        <v>105</v>
      </c>
    </row>
    <row r="65" spans="2:5" ht="30" x14ac:dyDescent="0.25">
      <c r="B65" s="57" t="s">
        <v>73</v>
      </c>
      <c r="C65" s="57">
        <v>124.1</v>
      </c>
      <c r="D65" s="57">
        <v>481</v>
      </c>
      <c r="E65" s="57" t="s">
        <v>104</v>
      </c>
    </row>
    <row r="66" spans="2:5" ht="30" x14ac:dyDescent="0.25">
      <c r="B66" s="57" t="s">
        <v>74</v>
      </c>
      <c r="C66" s="57">
        <v>171.2</v>
      </c>
      <c r="D66" s="57">
        <v>139.30000000000001</v>
      </c>
      <c r="E66" s="57" t="s">
        <v>100</v>
      </c>
    </row>
    <row r="67" spans="2:5" ht="30" x14ac:dyDescent="0.25">
      <c r="B67" s="57" t="s">
        <v>75</v>
      </c>
      <c r="C67" s="57">
        <v>166.4</v>
      </c>
      <c r="D67" s="57">
        <v>115.8</v>
      </c>
      <c r="E67" s="57" t="s">
        <v>103</v>
      </c>
    </row>
    <row r="68" spans="2:5" ht="30" x14ac:dyDescent="0.25">
      <c r="B68" s="57" t="s">
        <v>76</v>
      </c>
      <c r="C68" s="57">
        <v>93</v>
      </c>
      <c r="D68" s="57">
        <v>183.1</v>
      </c>
      <c r="E68" s="57" t="s">
        <v>105</v>
      </c>
    </row>
    <row r="69" spans="2:5" ht="45" x14ac:dyDescent="0.25">
      <c r="B69" s="57" t="s">
        <v>77</v>
      </c>
      <c r="C69" s="57">
        <v>122.8</v>
      </c>
      <c r="D69" s="57">
        <v>363.3</v>
      </c>
      <c r="E69" s="57" t="s">
        <v>104</v>
      </c>
    </row>
    <row r="70" spans="2:5" ht="30" x14ac:dyDescent="0.25">
      <c r="B70" s="57" t="s">
        <v>78</v>
      </c>
      <c r="C70" s="57">
        <v>87.2</v>
      </c>
      <c r="D70" s="57">
        <v>4.4000000000000004</v>
      </c>
      <c r="E70" s="57" t="s">
        <v>102</v>
      </c>
    </row>
    <row r="71" spans="2:5" ht="30" x14ac:dyDescent="0.25">
      <c r="B71" s="57" t="s">
        <v>79</v>
      </c>
      <c r="C71" s="57">
        <v>127.1</v>
      </c>
      <c r="D71" s="57">
        <v>365.4</v>
      </c>
      <c r="E71" s="57" t="s">
        <v>100</v>
      </c>
    </row>
    <row r="72" spans="2:5" ht="30" x14ac:dyDescent="0.25">
      <c r="B72" s="57" t="s">
        <v>80</v>
      </c>
      <c r="C72" s="57">
        <v>95.5</v>
      </c>
      <c r="D72" s="57">
        <v>518.9</v>
      </c>
      <c r="E72" s="57" t="s">
        <v>106</v>
      </c>
    </row>
    <row r="73" spans="2:5" ht="45" x14ac:dyDescent="0.25">
      <c r="B73" s="57" t="s">
        <v>81</v>
      </c>
      <c r="C73" s="57">
        <v>95.1</v>
      </c>
      <c r="D73" s="57">
        <v>665.7</v>
      </c>
      <c r="E73" s="57" t="s">
        <v>104</v>
      </c>
    </row>
    <row r="74" spans="2:5" ht="30" x14ac:dyDescent="0.25">
      <c r="B74" s="57" t="s">
        <v>82</v>
      </c>
      <c r="C74" s="57">
        <v>117</v>
      </c>
      <c r="D74" s="57">
        <v>33</v>
      </c>
      <c r="E74" s="57" t="s">
        <v>105</v>
      </c>
    </row>
    <row r="75" spans="2:5" ht="30" x14ac:dyDescent="0.25">
      <c r="B75" s="57" t="s">
        <v>83</v>
      </c>
      <c r="C75" s="57">
        <v>113.7</v>
      </c>
      <c r="D75" s="57">
        <v>338.4</v>
      </c>
      <c r="E75" s="57" t="s">
        <v>100</v>
      </c>
    </row>
    <row r="76" spans="2:5" ht="30" x14ac:dyDescent="0.25">
      <c r="B76" s="57" t="s">
        <v>85</v>
      </c>
      <c r="C76" s="57">
        <v>97.9</v>
      </c>
      <c r="D76" s="57">
        <v>34.9</v>
      </c>
      <c r="E76" s="57" t="s">
        <v>102</v>
      </c>
    </row>
    <row r="77" spans="2:5" ht="45" x14ac:dyDescent="0.25">
      <c r="B77" s="57" t="s">
        <v>86</v>
      </c>
      <c r="C77" s="57">
        <v>123.1</v>
      </c>
      <c r="D77" s="57">
        <v>71.2</v>
      </c>
      <c r="E77" s="57" t="s">
        <v>102</v>
      </c>
    </row>
    <row r="78" spans="2:5" ht="30" x14ac:dyDescent="0.25">
      <c r="B78" s="57" t="s">
        <v>88</v>
      </c>
      <c r="C78" s="57">
        <v>111.7</v>
      </c>
      <c r="D78" s="57">
        <v>429.3</v>
      </c>
      <c r="E78" s="57" t="s">
        <v>100</v>
      </c>
    </row>
    <row r="79" spans="2:5" ht="30" x14ac:dyDescent="0.25">
      <c r="B79" s="57" t="s">
        <v>89</v>
      </c>
      <c r="C79" s="57">
        <v>115.5</v>
      </c>
      <c r="D79" s="57">
        <v>110.7</v>
      </c>
      <c r="E79" s="57" t="s">
        <v>106</v>
      </c>
    </row>
    <row r="80" spans="2:5" ht="30" x14ac:dyDescent="0.25">
      <c r="B80" s="57" t="s">
        <v>90</v>
      </c>
      <c r="C80" s="57">
        <v>86.3</v>
      </c>
      <c r="D80" s="57">
        <v>153.4</v>
      </c>
      <c r="E80" s="57" t="s">
        <v>104</v>
      </c>
    </row>
    <row r="81" spans="2:5" ht="30" x14ac:dyDescent="0.25">
      <c r="B81" s="57" t="s">
        <v>91</v>
      </c>
      <c r="C81" s="57">
        <v>160.4</v>
      </c>
      <c r="D81" s="57">
        <v>394.2</v>
      </c>
      <c r="E81" s="57" t="s">
        <v>100</v>
      </c>
    </row>
    <row r="82" spans="2:5" ht="30" x14ac:dyDescent="0.25">
      <c r="B82" s="57" t="s">
        <v>92</v>
      </c>
      <c r="C82" s="57">
        <v>65.7</v>
      </c>
      <c r="D82" s="57">
        <v>331.2</v>
      </c>
      <c r="E82" s="57" t="s">
        <v>100</v>
      </c>
    </row>
    <row r="83" spans="2:5" ht="30" x14ac:dyDescent="0.25">
      <c r="B83" s="57" t="s">
        <v>93</v>
      </c>
      <c r="C83" s="57">
        <v>82.2</v>
      </c>
      <c r="D83" s="57">
        <v>732</v>
      </c>
      <c r="E83" s="57" t="s">
        <v>100</v>
      </c>
    </row>
    <row r="84" spans="2:5" ht="30" x14ac:dyDescent="0.25">
      <c r="B84" s="57" t="s">
        <v>94</v>
      </c>
      <c r="C84" s="57">
        <v>122.4</v>
      </c>
      <c r="D84" s="57">
        <v>84.8</v>
      </c>
      <c r="E84" s="57" t="s">
        <v>104</v>
      </c>
    </row>
    <row r="85" spans="2:5" ht="30" x14ac:dyDescent="0.25">
      <c r="B85" s="57" t="s">
        <v>95</v>
      </c>
      <c r="C85" s="57">
        <v>67.099999999999994</v>
      </c>
      <c r="D85" s="57">
        <v>29.6</v>
      </c>
      <c r="E85" s="57" t="s">
        <v>106</v>
      </c>
    </row>
    <row r="86" spans="2:5" ht="30" x14ac:dyDescent="0.25">
      <c r="B86" s="57" t="s">
        <v>96</v>
      </c>
      <c r="C86" s="57">
        <v>166.8</v>
      </c>
      <c r="D86" s="57">
        <v>37.200000000000003</v>
      </c>
      <c r="E86" s="57" t="s">
        <v>102</v>
      </c>
    </row>
    <row r="87" spans="2:5" ht="30" customHeight="1" x14ac:dyDescent="0.25">
      <c r="B87" s="57" t="s">
        <v>97</v>
      </c>
      <c r="C87" s="57">
        <v>105.4</v>
      </c>
      <c r="D87" s="57">
        <v>199.8</v>
      </c>
      <c r="E87" s="57" t="s">
        <v>105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1"/>
  <sheetViews>
    <sheetView topLeftCell="A49" zoomScale="115" zoomScaleNormal="115" workbookViewId="0">
      <selection activeCell="A62" sqref="A62"/>
    </sheetView>
  </sheetViews>
  <sheetFormatPr defaultRowHeight="15" x14ac:dyDescent="0.25"/>
  <cols>
    <col min="1" max="1" width="37" customWidth="1"/>
    <col min="2" max="2" width="40" customWidth="1"/>
    <col min="3" max="4" width="37" customWidth="1"/>
    <col min="5" max="5" width="102" bestFit="1" customWidth="1"/>
    <col min="6" max="6" width="37.5703125" bestFit="1" customWidth="1"/>
    <col min="7" max="7" width="30.5703125" bestFit="1" customWidth="1"/>
    <col min="8" max="8" width="30.28515625" bestFit="1" customWidth="1"/>
    <col min="9" max="9" width="33.42578125" bestFit="1" customWidth="1"/>
    <col min="10" max="10" width="28" bestFit="1" customWidth="1"/>
    <col min="11" max="11" width="12.140625" bestFit="1" customWidth="1"/>
  </cols>
  <sheetData>
    <row r="1" spans="1:2" ht="45" x14ac:dyDescent="0.25">
      <c r="A1" s="45" t="s">
        <v>180</v>
      </c>
      <c r="B1" s="44" t="s">
        <v>110</v>
      </c>
    </row>
    <row r="2" spans="1:2" x14ac:dyDescent="0.25">
      <c r="A2" s="31" t="s">
        <v>105</v>
      </c>
      <c r="B2" s="32">
        <v>124.26363636363637</v>
      </c>
    </row>
    <row r="3" spans="1:2" x14ac:dyDescent="0.25">
      <c r="A3" s="31" t="s">
        <v>100</v>
      </c>
      <c r="B3" s="32">
        <v>107.57222222222224</v>
      </c>
    </row>
    <row r="4" spans="1:2" x14ac:dyDescent="0.25">
      <c r="A4" s="31" t="s">
        <v>104</v>
      </c>
      <c r="B4" s="32">
        <v>104.23333333333332</v>
      </c>
    </row>
    <row r="5" spans="1:2" x14ac:dyDescent="0.25">
      <c r="A5" s="31" t="s">
        <v>103</v>
      </c>
      <c r="B5" s="32">
        <v>103.94285714285715</v>
      </c>
    </row>
    <row r="6" spans="1:2" x14ac:dyDescent="0.25">
      <c r="A6" s="31" t="s">
        <v>102</v>
      </c>
      <c r="B6" s="32">
        <v>100.75999999999999</v>
      </c>
    </row>
    <row r="7" spans="1:2" x14ac:dyDescent="0.25">
      <c r="A7" s="31" t="s">
        <v>106</v>
      </c>
      <c r="B7" s="32">
        <v>96.390909090909091</v>
      </c>
    </row>
    <row r="8" spans="1:2" x14ac:dyDescent="0.25">
      <c r="A8" s="31" t="s">
        <v>101</v>
      </c>
      <c r="B8" s="32">
        <v>84.7</v>
      </c>
    </row>
    <row r="9" spans="1:2" x14ac:dyDescent="0.25">
      <c r="A9" s="31" t="s">
        <v>109</v>
      </c>
      <c r="B9" s="32">
        <v>104.68235294117645</v>
      </c>
    </row>
    <row r="28" spans="1:2" x14ac:dyDescent="0.25">
      <c r="A28" t="s">
        <v>182</v>
      </c>
    </row>
    <row r="31" spans="1:2" ht="45" x14ac:dyDescent="0.25">
      <c r="A31" s="45" t="s">
        <v>180</v>
      </c>
      <c r="B31" s="44" t="s">
        <v>126</v>
      </c>
    </row>
    <row r="32" spans="1:2" x14ac:dyDescent="0.25">
      <c r="A32" s="31" t="s">
        <v>106</v>
      </c>
      <c r="B32" s="32">
        <v>66.7</v>
      </c>
    </row>
    <row r="33" spans="1:2" x14ac:dyDescent="0.25">
      <c r="A33" s="31" t="s">
        <v>103</v>
      </c>
      <c r="B33" s="32">
        <v>54.2</v>
      </c>
    </row>
    <row r="34" spans="1:2" x14ac:dyDescent="0.25">
      <c r="A34" s="31" t="s">
        <v>105</v>
      </c>
      <c r="B34" s="32">
        <v>49.4</v>
      </c>
    </row>
    <row r="35" spans="1:2" x14ac:dyDescent="0.25">
      <c r="A35" s="31" t="s">
        <v>100</v>
      </c>
      <c r="B35" s="32">
        <v>49.2</v>
      </c>
    </row>
    <row r="36" spans="1:2" x14ac:dyDescent="0.25">
      <c r="A36" s="31" t="s">
        <v>102</v>
      </c>
      <c r="B36" s="32">
        <v>46.7</v>
      </c>
    </row>
    <row r="37" spans="1:2" x14ac:dyDescent="0.25">
      <c r="A37" s="31" t="s">
        <v>101</v>
      </c>
      <c r="B37" s="32">
        <v>42.5</v>
      </c>
    </row>
    <row r="38" spans="1:2" x14ac:dyDescent="0.25">
      <c r="A38" s="31" t="s">
        <v>104</v>
      </c>
      <c r="B38" s="32">
        <v>11.1</v>
      </c>
    </row>
    <row r="39" spans="1:2" x14ac:dyDescent="0.25">
      <c r="A39" s="31" t="s">
        <v>109</v>
      </c>
      <c r="B39" s="32">
        <v>11.1</v>
      </c>
    </row>
    <row r="61" spans="1:2" x14ac:dyDescent="0.25">
      <c r="A61" t="s">
        <v>181</v>
      </c>
    </row>
    <row r="62" spans="1:2" ht="45" x14ac:dyDescent="0.25">
      <c r="A62" s="45" t="s">
        <v>180</v>
      </c>
      <c r="B62" s="44" t="s">
        <v>127</v>
      </c>
    </row>
    <row r="63" spans="1:2" x14ac:dyDescent="0.25">
      <c r="A63" s="31" t="s">
        <v>105</v>
      </c>
      <c r="B63" s="32">
        <v>265.10000000000002</v>
      </c>
    </row>
    <row r="64" spans="1:2" x14ac:dyDescent="0.25">
      <c r="A64" s="31" t="s">
        <v>104</v>
      </c>
      <c r="B64" s="32">
        <v>219.4</v>
      </c>
    </row>
    <row r="65" spans="1:2" x14ac:dyDescent="0.25">
      <c r="A65" s="31" t="s">
        <v>101</v>
      </c>
      <c r="B65" s="32">
        <v>176.8</v>
      </c>
    </row>
    <row r="66" spans="1:2" x14ac:dyDescent="0.25">
      <c r="A66" s="31" t="s">
        <v>100</v>
      </c>
      <c r="B66" s="32">
        <v>171.2</v>
      </c>
    </row>
    <row r="67" spans="1:2" x14ac:dyDescent="0.25">
      <c r="A67" s="31" t="s">
        <v>102</v>
      </c>
      <c r="B67" s="32">
        <v>166.8</v>
      </c>
    </row>
    <row r="68" spans="1:2" x14ac:dyDescent="0.25">
      <c r="A68" s="31" t="s">
        <v>103</v>
      </c>
      <c r="B68" s="32">
        <v>166.4</v>
      </c>
    </row>
    <row r="69" spans="1:2" x14ac:dyDescent="0.25">
      <c r="A69" s="31" t="s">
        <v>106</v>
      </c>
      <c r="B69" s="32">
        <v>122.9</v>
      </c>
    </row>
    <row r="70" spans="1:2" x14ac:dyDescent="0.25">
      <c r="A70" s="31" t="s">
        <v>109</v>
      </c>
      <c r="B70" s="32">
        <v>265.10000000000002</v>
      </c>
    </row>
    <row r="92" spans="1:1" x14ac:dyDescent="0.25">
      <c r="A92" t="s">
        <v>183</v>
      </c>
    </row>
    <row r="97" spans="1:2" ht="75" x14ac:dyDescent="0.25">
      <c r="A97" s="45" t="s">
        <v>180</v>
      </c>
      <c r="B97" s="44" t="s">
        <v>107</v>
      </c>
    </row>
    <row r="98" spans="1:2" x14ac:dyDescent="0.25">
      <c r="A98" s="31" t="s">
        <v>100</v>
      </c>
      <c r="B98" s="32">
        <v>518.86666666666667</v>
      </c>
    </row>
    <row r="99" spans="1:2" x14ac:dyDescent="0.25">
      <c r="A99" s="31" t="s">
        <v>104</v>
      </c>
      <c r="B99" s="32">
        <v>501.84000000000003</v>
      </c>
    </row>
    <row r="100" spans="1:2" x14ac:dyDescent="0.25">
      <c r="A100" s="31" t="s">
        <v>106</v>
      </c>
      <c r="B100" s="32">
        <v>366.12727272727267</v>
      </c>
    </row>
    <row r="101" spans="1:2" x14ac:dyDescent="0.25">
      <c r="A101" s="31" t="s">
        <v>103</v>
      </c>
      <c r="B101" s="32">
        <v>277.91428571428571</v>
      </c>
    </row>
    <row r="102" spans="1:2" x14ac:dyDescent="0.25">
      <c r="A102" s="31" t="s">
        <v>101</v>
      </c>
      <c r="B102" s="32">
        <v>103.96666666666665</v>
      </c>
    </row>
    <row r="103" spans="1:2" x14ac:dyDescent="0.25">
      <c r="A103" s="31" t="s">
        <v>105</v>
      </c>
      <c r="B103" s="32">
        <v>78.218181818181833</v>
      </c>
    </row>
    <row r="104" spans="1:2" x14ac:dyDescent="0.25">
      <c r="A104" s="31" t="s">
        <v>102</v>
      </c>
      <c r="B104" s="32">
        <v>29.840000000000003</v>
      </c>
    </row>
    <row r="105" spans="1:2" x14ac:dyDescent="0.25">
      <c r="A105" s="31" t="s">
        <v>109</v>
      </c>
      <c r="B105" s="32">
        <v>312.56470588235305</v>
      </c>
    </row>
    <row r="127" spans="1:1" x14ac:dyDescent="0.25">
      <c r="A127" t="s">
        <v>184</v>
      </c>
    </row>
    <row r="132" spans="1:2" ht="75" x14ac:dyDescent="0.25">
      <c r="A132" s="51" t="s">
        <v>180</v>
      </c>
      <c r="B132" s="52" t="s">
        <v>128</v>
      </c>
    </row>
    <row r="133" spans="1:2" x14ac:dyDescent="0.25">
      <c r="A133" s="31" t="s">
        <v>100</v>
      </c>
      <c r="B133" s="32">
        <v>139.30000000000001</v>
      </c>
    </row>
    <row r="134" spans="1:2" x14ac:dyDescent="0.25">
      <c r="A134" s="31" t="s">
        <v>103</v>
      </c>
      <c r="B134" s="32">
        <v>115.8</v>
      </c>
    </row>
    <row r="135" spans="1:2" x14ac:dyDescent="0.25">
      <c r="A135" s="31" t="s">
        <v>104</v>
      </c>
      <c r="B135" s="32">
        <v>51.3</v>
      </c>
    </row>
    <row r="136" spans="1:2" x14ac:dyDescent="0.25">
      <c r="A136" s="31" t="s">
        <v>105</v>
      </c>
      <c r="B136" s="32">
        <v>11.7</v>
      </c>
    </row>
    <row r="137" spans="1:2" x14ac:dyDescent="0.25">
      <c r="A137" s="31" t="s">
        <v>101</v>
      </c>
      <c r="B137" s="32">
        <v>3.7</v>
      </c>
    </row>
    <row r="138" spans="1:2" x14ac:dyDescent="0.25">
      <c r="A138" s="31" t="s">
        <v>106</v>
      </c>
      <c r="B138" s="32">
        <v>1.9</v>
      </c>
    </row>
    <row r="139" spans="1:2" x14ac:dyDescent="0.25">
      <c r="A139" s="31" t="s">
        <v>102</v>
      </c>
      <c r="B139" s="32">
        <v>1.3</v>
      </c>
    </row>
    <row r="140" spans="1:2" x14ac:dyDescent="0.25">
      <c r="A140" s="31" t="s">
        <v>109</v>
      </c>
      <c r="B140" s="32">
        <v>1.3</v>
      </c>
    </row>
    <row r="154" spans="1:2" x14ac:dyDescent="0.25">
      <c r="A154" t="s">
        <v>161</v>
      </c>
    </row>
    <row r="156" spans="1:2" ht="75" x14ac:dyDescent="0.25">
      <c r="A156" s="45" t="s">
        <v>180</v>
      </c>
      <c r="B156" s="53" t="s">
        <v>129</v>
      </c>
    </row>
    <row r="157" spans="1:2" x14ac:dyDescent="0.25">
      <c r="A157" s="31" t="s">
        <v>106</v>
      </c>
      <c r="B157" s="32">
        <v>2542.4</v>
      </c>
    </row>
    <row r="158" spans="1:2" x14ac:dyDescent="0.25">
      <c r="A158" s="31" t="s">
        <v>100</v>
      </c>
      <c r="B158" s="32">
        <v>2521.6</v>
      </c>
    </row>
    <row r="159" spans="1:2" x14ac:dyDescent="0.25">
      <c r="A159" s="31" t="s">
        <v>104</v>
      </c>
      <c r="B159" s="32">
        <v>1213.5</v>
      </c>
    </row>
    <row r="160" spans="1:2" x14ac:dyDescent="0.25">
      <c r="A160" s="31" t="s">
        <v>103</v>
      </c>
      <c r="B160" s="32">
        <v>476</v>
      </c>
    </row>
    <row r="161" spans="1:2" x14ac:dyDescent="0.25">
      <c r="A161" s="31" t="s">
        <v>101</v>
      </c>
      <c r="B161" s="32">
        <v>248.6</v>
      </c>
    </row>
    <row r="162" spans="1:2" x14ac:dyDescent="0.25">
      <c r="A162" s="31" t="s">
        <v>105</v>
      </c>
      <c r="B162" s="32">
        <v>199.8</v>
      </c>
    </row>
    <row r="163" spans="1:2" x14ac:dyDescent="0.25">
      <c r="A163" s="31" t="s">
        <v>102</v>
      </c>
      <c r="B163" s="32">
        <v>93.7</v>
      </c>
    </row>
    <row r="164" spans="1:2" x14ac:dyDescent="0.25">
      <c r="A164" s="31" t="s">
        <v>109</v>
      </c>
      <c r="B164" s="32">
        <v>2542.4</v>
      </c>
    </row>
    <row r="186" spans="1:2" x14ac:dyDescent="0.25">
      <c r="A186" t="s">
        <v>162</v>
      </c>
    </row>
    <row r="188" spans="1:2" ht="45" x14ac:dyDescent="0.25">
      <c r="A188" s="45" t="s">
        <v>180</v>
      </c>
      <c r="B188" s="44" t="s">
        <v>110</v>
      </c>
    </row>
    <row r="189" spans="1:2" x14ac:dyDescent="0.25">
      <c r="A189" s="31" t="s">
        <v>105</v>
      </c>
      <c r="B189" s="32">
        <v>124.26363636363637</v>
      </c>
    </row>
    <row r="190" spans="1:2" x14ac:dyDescent="0.25">
      <c r="A190" s="31" t="s">
        <v>100</v>
      </c>
      <c r="B190" s="32">
        <v>107.57222222222224</v>
      </c>
    </row>
    <row r="191" spans="1:2" x14ac:dyDescent="0.25">
      <c r="A191" s="31" t="s">
        <v>104</v>
      </c>
      <c r="B191" s="32">
        <v>104.23333333333332</v>
      </c>
    </row>
    <row r="192" spans="1:2" x14ac:dyDescent="0.25">
      <c r="A192" s="31" t="s">
        <v>103</v>
      </c>
      <c r="B192" s="32">
        <v>103.94285714285715</v>
      </c>
    </row>
    <row r="193" spans="1:2" x14ac:dyDescent="0.25">
      <c r="A193" s="31" t="s">
        <v>102</v>
      </c>
      <c r="B193" s="32">
        <v>100.75999999999999</v>
      </c>
    </row>
    <row r="194" spans="1:2" x14ac:dyDescent="0.25">
      <c r="A194" s="31" t="s">
        <v>106</v>
      </c>
      <c r="B194" s="32">
        <v>96.390909090909091</v>
      </c>
    </row>
    <row r="195" spans="1:2" x14ac:dyDescent="0.25">
      <c r="A195" s="31" t="s">
        <v>101</v>
      </c>
      <c r="B195" s="32">
        <v>84.7</v>
      </c>
    </row>
    <row r="196" spans="1:2" x14ac:dyDescent="0.25">
      <c r="A196" s="31" t="s">
        <v>109</v>
      </c>
      <c r="B196" s="32">
        <v>104.68235294117645</v>
      </c>
    </row>
    <row r="212" spans="1:2" x14ac:dyDescent="0.25">
      <c r="A212" t="s">
        <v>163</v>
      </c>
    </row>
    <row r="213" spans="1:2" ht="45" x14ac:dyDescent="0.25">
      <c r="A213" s="45" t="s">
        <v>180</v>
      </c>
      <c r="B213" s="44" t="s">
        <v>126</v>
      </c>
    </row>
    <row r="214" spans="1:2" x14ac:dyDescent="0.25">
      <c r="A214" s="31" t="s">
        <v>106</v>
      </c>
      <c r="B214" s="32">
        <v>66.7</v>
      </c>
    </row>
    <row r="215" spans="1:2" x14ac:dyDescent="0.25">
      <c r="A215" s="31" t="s">
        <v>103</v>
      </c>
      <c r="B215" s="32">
        <v>54.2</v>
      </c>
    </row>
    <row r="216" spans="1:2" x14ac:dyDescent="0.25">
      <c r="A216" s="31" t="s">
        <v>105</v>
      </c>
      <c r="B216" s="32">
        <v>49.4</v>
      </c>
    </row>
    <row r="217" spans="1:2" x14ac:dyDescent="0.25">
      <c r="A217" s="31" t="s">
        <v>100</v>
      </c>
      <c r="B217" s="32">
        <v>49.2</v>
      </c>
    </row>
    <row r="218" spans="1:2" x14ac:dyDescent="0.25">
      <c r="A218" s="31" t="s">
        <v>102</v>
      </c>
      <c r="B218" s="32">
        <v>46.7</v>
      </c>
    </row>
    <row r="219" spans="1:2" x14ac:dyDescent="0.25">
      <c r="A219" s="31" t="s">
        <v>101</v>
      </c>
      <c r="B219" s="32">
        <v>42.5</v>
      </c>
    </row>
    <row r="220" spans="1:2" x14ac:dyDescent="0.25">
      <c r="A220" s="31" t="s">
        <v>104</v>
      </c>
      <c r="B220" s="32">
        <v>11.1</v>
      </c>
    </row>
    <row r="221" spans="1:2" x14ac:dyDescent="0.25">
      <c r="A221" s="31" t="s">
        <v>109</v>
      </c>
      <c r="B221" s="32">
        <v>11.1</v>
      </c>
    </row>
    <row r="245" spans="1:2" x14ac:dyDescent="0.25">
      <c r="A245" t="s">
        <v>164</v>
      </c>
    </row>
    <row r="253" spans="1:2" ht="45" x14ac:dyDescent="0.25">
      <c r="A253" s="45" t="s">
        <v>180</v>
      </c>
      <c r="B253" s="44" t="s">
        <v>127</v>
      </c>
    </row>
    <row r="254" spans="1:2" x14ac:dyDescent="0.25">
      <c r="A254" s="47" t="s">
        <v>105</v>
      </c>
      <c r="B254" s="50">
        <v>265.10000000000002</v>
      </c>
    </row>
    <row r="255" spans="1:2" x14ac:dyDescent="0.25">
      <c r="A255" s="47" t="s">
        <v>104</v>
      </c>
      <c r="B255" s="50">
        <v>219.4</v>
      </c>
    </row>
    <row r="256" spans="1:2" x14ac:dyDescent="0.25">
      <c r="A256" s="47" t="s">
        <v>101</v>
      </c>
      <c r="B256" s="50">
        <v>176.8</v>
      </c>
    </row>
    <row r="257" spans="1:2" x14ac:dyDescent="0.25">
      <c r="A257" s="47" t="s">
        <v>100</v>
      </c>
      <c r="B257" s="50">
        <v>171.2</v>
      </c>
    </row>
    <row r="258" spans="1:2" x14ac:dyDescent="0.25">
      <c r="A258" s="47" t="s">
        <v>102</v>
      </c>
      <c r="B258" s="50">
        <v>166.8</v>
      </c>
    </row>
    <row r="259" spans="1:2" x14ac:dyDescent="0.25">
      <c r="A259" s="47" t="s">
        <v>103</v>
      </c>
      <c r="B259" s="50">
        <v>166.4</v>
      </c>
    </row>
    <row r="260" spans="1:2" x14ac:dyDescent="0.25">
      <c r="A260" s="47" t="s">
        <v>106</v>
      </c>
      <c r="B260" s="50">
        <v>122.9</v>
      </c>
    </row>
    <row r="261" spans="1:2" x14ac:dyDescent="0.25">
      <c r="A261" s="47" t="s">
        <v>109</v>
      </c>
      <c r="B261" s="50">
        <v>265.10000000000002</v>
      </c>
    </row>
    <row r="281" spans="1:2" x14ac:dyDescent="0.25">
      <c r="A281" t="s">
        <v>165</v>
      </c>
    </row>
    <row r="287" spans="1:2" ht="75" x14ac:dyDescent="0.25">
      <c r="A287" s="45" t="s">
        <v>180</v>
      </c>
      <c r="B287" s="44" t="s">
        <v>107</v>
      </c>
    </row>
    <row r="288" spans="1:2" x14ac:dyDescent="0.25">
      <c r="A288" s="31" t="s">
        <v>100</v>
      </c>
      <c r="B288" s="32">
        <v>518.86666666666667</v>
      </c>
    </row>
    <row r="289" spans="1:2" x14ac:dyDescent="0.25">
      <c r="A289" s="31" t="s">
        <v>104</v>
      </c>
      <c r="B289" s="32">
        <v>501.84000000000003</v>
      </c>
    </row>
    <row r="290" spans="1:2" x14ac:dyDescent="0.25">
      <c r="A290" s="31" t="s">
        <v>106</v>
      </c>
      <c r="B290" s="32">
        <v>366.12727272727267</v>
      </c>
    </row>
    <row r="291" spans="1:2" x14ac:dyDescent="0.25">
      <c r="A291" s="31" t="s">
        <v>103</v>
      </c>
      <c r="B291" s="32">
        <v>277.91428571428571</v>
      </c>
    </row>
    <row r="292" spans="1:2" x14ac:dyDescent="0.25">
      <c r="A292" s="31" t="s">
        <v>101</v>
      </c>
      <c r="B292" s="32">
        <v>103.96666666666665</v>
      </c>
    </row>
    <row r="293" spans="1:2" x14ac:dyDescent="0.25">
      <c r="A293" s="31" t="s">
        <v>105</v>
      </c>
      <c r="B293" s="32">
        <v>78.218181818181833</v>
      </c>
    </row>
    <row r="294" spans="1:2" x14ac:dyDescent="0.25">
      <c r="A294" s="31" t="s">
        <v>102</v>
      </c>
      <c r="B294" s="32">
        <v>29.840000000000003</v>
      </c>
    </row>
    <row r="295" spans="1:2" x14ac:dyDescent="0.25">
      <c r="A295" s="31" t="s">
        <v>109</v>
      </c>
      <c r="B295" s="32">
        <v>312.56470588235305</v>
      </c>
    </row>
    <row r="317" spans="1:2" x14ac:dyDescent="0.25">
      <c r="A317" t="s">
        <v>166</v>
      </c>
    </row>
    <row r="320" spans="1:2" ht="75" x14ac:dyDescent="0.25">
      <c r="A320" s="45" t="s">
        <v>180</v>
      </c>
      <c r="B320" s="44" t="s">
        <v>128</v>
      </c>
    </row>
    <row r="321" spans="1:2" x14ac:dyDescent="0.25">
      <c r="A321" s="31" t="s">
        <v>100</v>
      </c>
      <c r="B321" s="32">
        <v>139.30000000000001</v>
      </c>
    </row>
    <row r="322" spans="1:2" x14ac:dyDescent="0.25">
      <c r="A322" s="31" t="s">
        <v>103</v>
      </c>
      <c r="B322" s="32">
        <v>115.8</v>
      </c>
    </row>
    <row r="323" spans="1:2" x14ac:dyDescent="0.25">
      <c r="A323" s="31" t="s">
        <v>104</v>
      </c>
      <c r="B323" s="32">
        <v>51.3</v>
      </c>
    </row>
    <row r="324" spans="1:2" x14ac:dyDescent="0.25">
      <c r="A324" s="31" t="s">
        <v>105</v>
      </c>
      <c r="B324" s="32">
        <v>11.7</v>
      </c>
    </row>
    <row r="325" spans="1:2" x14ac:dyDescent="0.25">
      <c r="A325" s="31" t="s">
        <v>101</v>
      </c>
      <c r="B325" s="32">
        <v>3.7</v>
      </c>
    </row>
    <row r="326" spans="1:2" x14ac:dyDescent="0.25">
      <c r="A326" s="31" t="s">
        <v>106</v>
      </c>
      <c r="B326" s="32">
        <v>1.9</v>
      </c>
    </row>
    <row r="327" spans="1:2" x14ac:dyDescent="0.25">
      <c r="A327" s="31" t="s">
        <v>102</v>
      </c>
      <c r="B327" s="32">
        <v>1.3</v>
      </c>
    </row>
    <row r="328" spans="1:2" x14ac:dyDescent="0.25">
      <c r="A328" s="31" t="s">
        <v>109</v>
      </c>
      <c r="B328" s="32">
        <v>1.3</v>
      </c>
    </row>
    <row r="361" spans="1:2" x14ac:dyDescent="0.25">
      <c r="A361" t="s">
        <v>167</v>
      </c>
    </row>
    <row r="366" spans="1:2" ht="75" x14ac:dyDescent="0.25">
      <c r="A366" s="45" t="s">
        <v>180</v>
      </c>
      <c r="B366" s="44" t="s">
        <v>129</v>
      </c>
    </row>
    <row r="367" spans="1:2" x14ac:dyDescent="0.25">
      <c r="A367" s="31" t="s">
        <v>106</v>
      </c>
      <c r="B367" s="32">
        <v>2542.4</v>
      </c>
    </row>
    <row r="368" spans="1:2" x14ac:dyDescent="0.25">
      <c r="A368" s="31" t="s">
        <v>100</v>
      </c>
      <c r="B368" s="32">
        <v>2521.6</v>
      </c>
    </row>
    <row r="369" spans="1:2" x14ac:dyDescent="0.25">
      <c r="A369" s="31" t="s">
        <v>104</v>
      </c>
      <c r="B369" s="32">
        <v>1213.5</v>
      </c>
    </row>
    <row r="370" spans="1:2" x14ac:dyDescent="0.25">
      <c r="A370" s="31" t="s">
        <v>103</v>
      </c>
      <c r="B370" s="32">
        <v>476</v>
      </c>
    </row>
    <row r="371" spans="1:2" x14ac:dyDescent="0.25">
      <c r="A371" s="31" t="s">
        <v>101</v>
      </c>
      <c r="B371" s="32">
        <v>248.6</v>
      </c>
    </row>
    <row r="372" spans="1:2" x14ac:dyDescent="0.25">
      <c r="A372" s="31" t="s">
        <v>105</v>
      </c>
      <c r="B372" s="32">
        <v>199.8</v>
      </c>
    </row>
    <row r="373" spans="1:2" x14ac:dyDescent="0.25">
      <c r="A373" s="31" t="s">
        <v>102</v>
      </c>
      <c r="B373" s="32">
        <v>93.7</v>
      </c>
    </row>
    <row r="374" spans="1:2" x14ac:dyDescent="0.25">
      <c r="A374" s="31" t="s">
        <v>109</v>
      </c>
      <c r="B374" s="32">
        <v>2542.4</v>
      </c>
    </row>
    <row r="401" spans="1:1" x14ac:dyDescent="0.25">
      <c r="A401" t="s">
        <v>168</v>
      </c>
    </row>
  </sheetData>
  <pageMargins left="0.7" right="0.7" top="0.75" bottom="0.75" header="0.3" footer="0.3"/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9"/>
  <sheetViews>
    <sheetView topLeftCell="A43" zoomScale="85" zoomScaleNormal="85" workbookViewId="0">
      <selection activeCell="C68" sqref="C68"/>
    </sheetView>
  </sheetViews>
  <sheetFormatPr defaultRowHeight="15" x14ac:dyDescent="0.25"/>
  <cols>
    <col min="1" max="1" width="43.28515625" customWidth="1"/>
    <col min="2" max="2" width="42.85546875" customWidth="1"/>
    <col min="3" max="3" width="103.140625" customWidth="1"/>
    <col min="4" max="4" width="37.5703125" bestFit="1" customWidth="1"/>
    <col min="5" max="5" width="30.5703125" bestFit="1" customWidth="1"/>
    <col min="6" max="6" width="30.28515625" bestFit="1" customWidth="1"/>
    <col min="7" max="7" width="33.42578125" bestFit="1" customWidth="1"/>
    <col min="8" max="8" width="28" bestFit="1" customWidth="1"/>
    <col min="9" max="9" width="11.85546875" bestFit="1" customWidth="1"/>
  </cols>
  <sheetData>
    <row r="1" spans="1:2" ht="60" x14ac:dyDescent="0.25">
      <c r="A1" s="45" t="s">
        <v>170</v>
      </c>
      <c r="B1" s="53" t="s">
        <v>107</v>
      </c>
    </row>
    <row r="2" spans="1:2" x14ac:dyDescent="0.25">
      <c r="A2" s="31" t="s">
        <v>111</v>
      </c>
      <c r="B2" s="32">
        <v>306.21999999999997</v>
      </c>
    </row>
    <row r="3" spans="1:2" x14ac:dyDescent="0.25">
      <c r="A3" s="31" t="s">
        <v>112</v>
      </c>
      <c r="B3" s="32">
        <v>422.22222222222211</v>
      </c>
    </row>
    <row r="4" spans="1:2" x14ac:dyDescent="0.25">
      <c r="A4" s="31" t="s">
        <v>113</v>
      </c>
      <c r="B4" s="32">
        <v>278.11250000000007</v>
      </c>
    </row>
    <row r="5" spans="1:2" x14ac:dyDescent="0.25">
      <c r="A5" s="31" t="s">
        <v>114</v>
      </c>
      <c r="B5" s="32">
        <v>263.27500000000003</v>
      </c>
    </row>
    <row r="6" spans="1:2" x14ac:dyDescent="0.25">
      <c r="A6" s="31" t="s">
        <v>115</v>
      </c>
      <c r="B6" s="32">
        <v>110.90000000000002</v>
      </c>
    </row>
    <row r="7" spans="1:2" x14ac:dyDescent="0.25">
      <c r="A7" s="31" t="s">
        <v>116</v>
      </c>
      <c r="B7" s="32">
        <v>51.3</v>
      </c>
    </row>
    <row r="8" spans="1:2" x14ac:dyDescent="0.25">
      <c r="A8" s="31" t="s">
        <v>117</v>
      </c>
      <c r="B8" s="32">
        <v>22.2</v>
      </c>
    </row>
    <row r="9" spans="1:2" x14ac:dyDescent="0.25">
      <c r="A9" s="31" t="s">
        <v>109</v>
      </c>
      <c r="B9" s="32">
        <v>312.56470588235288</v>
      </c>
    </row>
    <row r="29" spans="1:1" x14ac:dyDescent="0.25">
      <c r="A29" s="17" t="s">
        <v>171</v>
      </c>
    </row>
    <row r="35" spans="1:2" ht="60" x14ac:dyDescent="0.25">
      <c r="A35" s="45" t="s">
        <v>170</v>
      </c>
      <c r="B35" s="44" t="s">
        <v>128</v>
      </c>
    </row>
    <row r="36" spans="1:2" x14ac:dyDescent="0.25">
      <c r="A36" s="31" t="s">
        <v>111</v>
      </c>
      <c r="B36" s="32">
        <v>1.3</v>
      </c>
    </row>
    <row r="37" spans="1:2" x14ac:dyDescent="0.25">
      <c r="A37" s="31" t="s">
        <v>112</v>
      </c>
      <c r="B37" s="32">
        <v>1.9</v>
      </c>
    </row>
    <row r="38" spans="1:2" x14ac:dyDescent="0.25">
      <c r="A38" s="31" t="s">
        <v>113</v>
      </c>
      <c r="B38" s="32">
        <v>4.0999999999999996</v>
      </c>
    </row>
    <row r="39" spans="1:2" x14ac:dyDescent="0.25">
      <c r="A39" s="31" t="s">
        <v>114</v>
      </c>
      <c r="B39" s="32">
        <v>37.200000000000003</v>
      </c>
    </row>
    <row r="40" spans="1:2" x14ac:dyDescent="0.25">
      <c r="A40" s="31" t="s">
        <v>115</v>
      </c>
      <c r="B40" s="32">
        <v>93.2</v>
      </c>
    </row>
    <row r="41" spans="1:2" x14ac:dyDescent="0.25">
      <c r="A41" s="31" t="s">
        <v>116</v>
      </c>
      <c r="B41" s="32">
        <v>51.3</v>
      </c>
    </row>
    <row r="42" spans="1:2" x14ac:dyDescent="0.25">
      <c r="A42" s="31" t="s">
        <v>117</v>
      </c>
      <c r="B42" s="32">
        <v>22.2</v>
      </c>
    </row>
    <row r="43" spans="1:2" x14ac:dyDescent="0.25">
      <c r="A43" s="31" t="s">
        <v>109</v>
      </c>
      <c r="B43" s="32">
        <v>1.3</v>
      </c>
    </row>
    <row r="60" spans="1:2" x14ac:dyDescent="0.25">
      <c r="A60" s="17" t="s">
        <v>172</v>
      </c>
    </row>
    <row r="62" spans="1:2" ht="60" x14ac:dyDescent="0.25">
      <c r="A62" s="45" t="s">
        <v>170</v>
      </c>
      <c r="B62" s="44" t="s">
        <v>129</v>
      </c>
    </row>
    <row r="63" spans="1:2" x14ac:dyDescent="0.25">
      <c r="A63" s="31" t="s">
        <v>111</v>
      </c>
      <c r="B63" s="32">
        <v>848.8</v>
      </c>
    </row>
    <row r="64" spans="1:2" x14ac:dyDescent="0.25">
      <c r="A64" s="31" t="s">
        <v>112</v>
      </c>
      <c r="B64" s="32">
        <v>2542.4</v>
      </c>
    </row>
    <row r="65" spans="1:2" x14ac:dyDescent="0.25">
      <c r="A65" s="31" t="s">
        <v>113</v>
      </c>
      <c r="B65" s="32">
        <v>1213.5</v>
      </c>
    </row>
    <row r="66" spans="1:2" x14ac:dyDescent="0.25">
      <c r="A66" s="31" t="s">
        <v>114</v>
      </c>
      <c r="B66" s="32">
        <v>716.9</v>
      </c>
    </row>
    <row r="67" spans="1:2" x14ac:dyDescent="0.25">
      <c r="A67" s="31" t="s">
        <v>115</v>
      </c>
      <c r="B67" s="32">
        <v>139.30000000000001</v>
      </c>
    </row>
    <row r="68" spans="1:2" x14ac:dyDescent="0.25">
      <c r="A68" s="31" t="s">
        <v>116</v>
      </c>
      <c r="B68" s="32">
        <v>51.3</v>
      </c>
    </row>
    <row r="69" spans="1:2" x14ac:dyDescent="0.25">
      <c r="A69" s="31" t="s">
        <v>117</v>
      </c>
      <c r="B69" s="32">
        <v>22.2</v>
      </c>
    </row>
    <row r="70" spans="1:2" x14ac:dyDescent="0.25">
      <c r="A70" s="31" t="s">
        <v>109</v>
      </c>
      <c r="B70" s="32">
        <v>2542.4</v>
      </c>
    </row>
    <row r="89" spans="1:2" x14ac:dyDescent="0.25">
      <c r="A89" s="54" t="s">
        <v>173</v>
      </c>
    </row>
    <row r="96" spans="1:2" ht="60" x14ac:dyDescent="0.25">
      <c r="A96" s="45" t="s">
        <v>174</v>
      </c>
      <c r="B96" s="44" t="s">
        <v>110</v>
      </c>
    </row>
    <row r="97" spans="1:2" x14ac:dyDescent="0.25">
      <c r="A97" s="31" t="s">
        <v>118</v>
      </c>
      <c r="B97" s="32">
        <v>108.54146341463417</v>
      </c>
    </row>
    <row r="98" spans="1:2" x14ac:dyDescent="0.25">
      <c r="A98" s="31" t="s">
        <v>119</v>
      </c>
      <c r="B98" s="32">
        <v>110.39166666666669</v>
      </c>
    </row>
    <row r="99" spans="1:2" x14ac:dyDescent="0.25">
      <c r="A99" s="31" t="s">
        <v>120</v>
      </c>
      <c r="B99" s="32">
        <v>96.890909090909091</v>
      </c>
    </row>
    <row r="100" spans="1:2" x14ac:dyDescent="0.25">
      <c r="A100" s="31" t="s">
        <v>121</v>
      </c>
      <c r="B100" s="32">
        <v>79.975000000000009</v>
      </c>
    </row>
    <row r="101" spans="1:2" x14ac:dyDescent="0.25">
      <c r="A101" s="31" t="s">
        <v>122</v>
      </c>
      <c r="B101" s="32">
        <v>49.2</v>
      </c>
    </row>
    <row r="102" spans="1:2" x14ac:dyDescent="0.25">
      <c r="A102" s="31" t="s">
        <v>123</v>
      </c>
      <c r="B102" s="32">
        <v>65.599999999999994</v>
      </c>
    </row>
    <row r="103" spans="1:2" x14ac:dyDescent="0.25">
      <c r="A103" s="31" t="s">
        <v>124</v>
      </c>
      <c r="B103" s="32">
        <v>125.8</v>
      </c>
    </row>
    <row r="104" spans="1:2" x14ac:dyDescent="0.25">
      <c r="A104" s="31" t="s">
        <v>125</v>
      </c>
      <c r="B104" s="32">
        <v>86.05</v>
      </c>
    </row>
    <row r="105" spans="1:2" x14ac:dyDescent="0.25">
      <c r="A105" s="31" t="s">
        <v>109</v>
      </c>
      <c r="B105" s="32">
        <v>104.68235294117653</v>
      </c>
    </row>
    <row r="122" spans="1:2" x14ac:dyDescent="0.25">
      <c r="A122" s="48"/>
    </row>
    <row r="123" spans="1:2" x14ac:dyDescent="0.25">
      <c r="A123" s="55" t="s">
        <v>175</v>
      </c>
    </row>
    <row r="125" spans="1:2" ht="60" x14ac:dyDescent="0.25">
      <c r="A125" s="45" t="s">
        <v>174</v>
      </c>
      <c r="B125" s="44" t="s">
        <v>126</v>
      </c>
    </row>
    <row r="126" spans="1:2" x14ac:dyDescent="0.25">
      <c r="A126" s="31" t="s">
        <v>118</v>
      </c>
      <c r="B126" s="32">
        <v>42.5</v>
      </c>
    </row>
    <row r="127" spans="1:2" x14ac:dyDescent="0.25">
      <c r="A127" s="31" t="s">
        <v>119</v>
      </c>
      <c r="B127" s="32">
        <v>65.5</v>
      </c>
    </row>
    <row r="128" spans="1:2" x14ac:dyDescent="0.25">
      <c r="A128" s="31" t="s">
        <v>120</v>
      </c>
      <c r="B128" s="32">
        <v>77</v>
      </c>
    </row>
    <row r="129" spans="1:2" x14ac:dyDescent="0.25">
      <c r="A129" s="31" t="s">
        <v>121</v>
      </c>
      <c r="B129" s="32">
        <v>11.1</v>
      </c>
    </row>
    <row r="130" spans="1:2" x14ac:dyDescent="0.25">
      <c r="A130" s="31" t="s">
        <v>122</v>
      </c>
      <c r="B130" s="32">
        <v>49.2</v>
      </c>
    </row>
    <row r="131" spans="1:2" x14ac:dyDescent="0.25">
      <c r="A131" s="31" t="s">
        <v>123</v>
      </c>
      <c r="B131" s="32">
        <v>65.599999999999994</v>
      </c>
    </row>
    <row r="132" spans="1:2" x14ac:dyDescent="0.25">
      <c r="A132" s="31" t="s">
        <v>124</v>
      </c>
      <c r="B132" s="32">
        <v>125.8</v>
      </c>
    </row>
    <row r="133" spans="1:2" x14ac:dyDescent="0.25">
      <c r="A133" s="31" t="s">
        <v>125</v>
      </c>
      <c r="B133" s="32">
        <v>82.5</v>
      </c>
    </row>
    <row r="134" spans="1:2" x14ac:dyDescent="0.25">
      <c r="A134" s="31" t="s">
        <v>109</v>
      </c>
      <c r="B134" s="32">
        <v>11.1</v>
      </c>
    </row>
    <row r="153" spans="1:2" ht="26.25" customHeight="1" x14ac:dyDescent="0.25">
      <c r="A153" s="17" t="s">
        <v>176</v>
      </c>
    </row>
    <row r="155" spans="1:2" ht="60" x14ac:dyDescent="0.25">
      <c r="A155" s="45" t="s">
        <v>174</v>
      </c>
      <c r="B155" s="44" t="s">
        <v>127</v>
      </c>
    </row>
    <row r="156" spans="1:2" x14ac:dyDescent="0.25">
      <c r="A156" s="31" t="s">
        <v>118</v>
      </c>
      <c r="B156" s="32">
        <v>265.10000000000002</v>
      </c>
    </row>
    <row r="157" spans="1:2" x14ac:dyDescent="0.25">
      <c r="A157" s="31" t="s">
        <v>119</v>
      </c>
      <c r="B157" s="32">
        <v>160.4</v>
      </c>
    </row>
    <row r="158" spans="1:2" x14ac:dyDescent="0.25">
      <c r="A158" s="31" t="s">
        <v>120</v>
      </c>
      <c r="B158" s="32">
        <v>124.1</v>
      </c>
    </row>
    <row r="159" spans="1:2" x14ac:dyDescent="0.25">
      <c r="A159" s="31" t="s">
        <v>121</v>
      </c>
      <c r="B159" s="32">
        <v>131.5</v>
      </c>
    </row>
    <row r="160" spans="1:2" x14ac:dyDescent="0.25">
      <c r="A160" s="31" t="s">
        <v>122</v>
      </c>
      <c r="B160" s="32">
        <v>49.2</v>
      </c>
    </row>
    <row r="161" spans="1:2" x14ac:dyDescent="0.25">
      <c r="A161" s="31" t="s">
        <v>123</v>
      </c>
      <c r="B161" s="32">
        <v>65.599999999999994</v>
      </c>
    </row>
    <row r="162" spans="1:2" x14ac:dyDescent="0.25">
      <c r="A162" s="31" t="s">
        <v>124</v>
      </c>
      <c r="B162" s="32">
        <v>125.8</v>
      </c>
    </row>
    <row r="163" spans="1:2" x14ac:dyDescent="0.25">
      <c r="A163" s="31" t="s">
        <v>125</v>
      </c>
      <c r="B163" s="32">
        <v>89.6</v>
      </c>
    </row>
    <row r="164" spans="1:2" x14ac:dyDescent="0.25">
      <c r="A164" s="31" t="s">
        <v>109</v>
      </c>
      <c r="B164" s="32">
        <v>265.10000000000002</v>
      </c>
    </row>
    <row r="188" spans="1:1" x14ac:dyDescent="0.25">
      <c r="A188" t="s">
        <v>177</v>
      </c>
    </row>
    <row r="246" spans="1:2" x14ac:dyDescent="0.25">
      <c r="A246" s="20"/>
      <c r="B246" s="29"/>
    </row>
    <row r="247" spans="1:2" x14ac:dyDescent="0.25">
      <c r="A247" s="20"/>
      <c r="B247" s="29"/>
    </row>
    <row r="248" spans="1:2" x14ac:dyDescent="0.25">
      <c r="A248" s="20"/>
      <c r="B248" s="29"/>
    </row>
    <row r="249" spans="1:2" x14ac:dyDescent="0.25">
      <c r="A249" s="20"/>
      <c r="B249" s="29"/>
    </row>
    <row r="250" spans="1:2" x14ac:dyDescent="0.25">
      <c r="A250" s="20"/>
      <c r="B250" s="29"/>
    </row>
    <row r="251" spans="1:2" x14ac:dyDescent="0.25">
      <c r="A251" s="20"/>
      <c r="B251" s="29"/>
    </row>
    <row r="252" spans="1:2" x14ac:dyDescent="0.25">
      <c r="A252" s="20"/>
      <c r="B252" s="29"/>
    </row>
    <row r="253" spans="1:2" x14ac:dyDescent="0.25">
      <c r="A253" s="20"/>
      <c r="B253" s="29"/>
    </row>
    <row r="275" spans="1:2" x14ac:dyDescent="0.25">
      <c r="A275" s="20"/>
      <c r="B275" s="29"/>
    </row>
    <row r="276" spans="1:2" x14ac:dyDescent="0.25">
      <c r="A276" s="20"/>
      <c r="B276" s="29"/>
    </row>
    <row r="277" spans="1:2" x14ac:dyDescent="0.25">
      <c r="A277" s="20"/>
      <c r="B277" s="29"/>
    </row>
    <row r="278" spans="1:2" x14ac:dyDescent="0.25">
      <c r="A278" s="20"/>
      <c r="B278" s="29"/>
    </row>
    <row r="279" spans="1:2" x14ac:dyDescent="0.25">
      <c r="A279" s="20"/>
      <c r="B279" s="29"/>
    </row>
    <row r="280" spans="1:2" x14ac:dyDescent="0.25">
      <c r="A280" s="20"/>
      <c r="B280" s="29"/>
    </row>
    <row r="281" spans="1:2" x14ac:dyDescent="0.25">
      <c r="A281" s="20"/>
      <c r="B281" s="29"/>
    </row>
    <row r="282" spans="1:2" x14ac:dyDescent="0.25">
      <c r="A282" s="20"/>
      <c r="B282" s="29"/>
    </row>
    <row r="283" spans="1:2" x14ac:dyDescent="0.25">
      <c r="A283" s="20"/>
      <c r="B283" s="29"/>
    </row>
    <row r="311" spans="1:2" x14ac:dyDescent="0.25">
      <c r="A311" s="20"/>
      <c r="B311" s="29"/>
    </row>
    <row r="312" spans="1:2" x14ac:dyDescent="0.25">
      <c r="A312" s="20"/>
      <c r="B312" s="29"/>
    </row>
    <row r="313" spans="1:2" x14ac:dyDescent="0.25">
      <c r="A313" s="20"/>
      <c r="B313" s="29"/>
    </row>
    <row r="314" spans="1:2" x14ac:dyDescent="0.25">
      <c r="A314" s="20"/>
      <c r="B314" s="29"/>
    </row>
    <row r="315" spans="1:2" x14ac:dyDescent="0.25">
      <c r="A315" s="20"/>
      <c r="B315" s="29"/>
    </row>
    <row r="316" spans="1:2" x14ac:dyDescent="0.25">
      <c r="A316" s="20"/>
      <c r="B316" s="29"/>
    </row>
    <row r="317" spans="1:2" x14ac:dyDescent="0.25">
      <c r="A317" s="20"/>
      <c r="B317" s="29"/>
    </row>
    <row r="318" spans="1:2" x14ac:dyDescent="0.25">
      <c r="A318" s="20"/>
      <c r="B318" s="29"/>
    </row>
    <row r="319" spans="1:2" x14ac:dyDescent="0.25">
      <c r="A319" s="20"/>
      <c r="B319" s="29"/>
    </row>
  </sheetData>
  <pageMargins left="0.7" right="0.7" top="0.75" bottom="0.75" header="0.3" footer="0.3"/>
  <pageSetup paperSize="9" orientation="portrait" r:id="rId7"/>
  <drawing r:id="rId8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opLeftCell="A19" zoomScale="85" zoomScaleNormal="85" workbookViewId="0">
      <selection activeCell="A84" sqref="A84"/>
    </sheetView>
  </sheetViews>
  <sheetFormatPr defaultRowHeight="15" x14ac:dyDescent="0.25"/>
  <cols>
    <col min="1" max="1" width="6" customWidth="1"/>
    <col min="2" max="2" width="18.5703125" customWidth="1"/>
    <col min="3" max="3" width="29.85546875" customWidth="1"/>
    <col min="4" max="4" width="16.85546875" customWidth="1"/>
    <col min="5" max="5" width="17.5703125" customWidth="1"/>
    <col min="6" max="6" width="22.85546875" customWidth="1"/>
    <col min="14" max="14" width="52.140625" customWidth="1"/>
  </cols>
  <sheetData>
    <row r="1" spans="1:5" ht="74.25" customHeight="1" x14ac:dyDescent="0.25">
      <c r="A1" s="53" t="s">
        <v>169</v>
      </c>
      <c r="B1" s="53" t="s">
        <v>198</v>
      </c>
      <c r="C1" s="53" t="s">
        <v>192</v>
      </c>
      <c r="D1" s="53" t="s">
        <v>193</v>
      </c>
      <c r="E1" s="53" t="s">
        <v>127</v>
      </c>
    </row>
    <row r="2" spans="1:5" x14ac:dyDescent="0.25">
      <c r="A2" s="30">
        <v>2018</v>
      </c>
      <c r="B2" s="30">
        <v>1</v>
      </c>
      <c r="C2" s="30">
        <f>AVERAGE(ВосстРедач.Дин.ДТП2018!D2:D86)</f>
        <v>313.96844705882359</v>
      </c>
      <c r="D2" s="30">
        <f>MIN(ВосстРедач.Дин.ДТП2018!D2:D86)</f>
        <v>69.5</v>
      </c>
      <c r="E2" s="30">
        <f>MAX(ВосстРедач.Дин.ДТП2018!D2:D86)</f>
        <v>799.65599999999995</v>
      </c>
    </row>
    <row r="3" spans="1:5" x14ac:dyDescent="0.25">
      <c r="A3" s="30">
        <v>2019</v>
      </c>
      <c r="B3" s="30">
        <v>2</v>
      </c>
      <c r="C3" s="30">
        <f>AVERAGE(Редач.Дин.ДТП2019!B2:B86)</f>
        <v>322.16470588235296</v>
      </c>
      <c r="D3" s="30">
        <f>MIN(Редач.Дин.ДТП2019!B2:B86)</f>
        <v>76</v>
      </c>
      <c r="E3" s="30">
        <f>MAX(Редач.Дин.ДТП2019!B2:B86)</f>
        <v>858</v>
      </c>
    </row>
    <row r="4" spans="1:5" x14ac:dyDescent="0.25">
      <c r="A4" s="30">
        <v>2020</v>
      </c>
      <c r="B4" s="30">
        <v>3</v>
      </c>
      <c r="C4" s="30">
        <f>AVERAGE(Редач.Дин.ДТП2020!B2:B86)</f>
        <v>213.16470588235293</v>
      </c>
      <c r="D4" s="30">
        <f>MIN(Редач.Дин.ДТП2020!B2:B86)</f>
        <v>44</v>
      </c>
      <c r="E4" s="30">
        <f>MAX(Редач.Дин.ДТП2020!B2:B86)</f>
        <v>632</v>
      </c>
    </row>
    <row r="5" spans="1:5" x14ac:dyDescent="0.25">
      <c r="A5" s="30">
        <v>2021</v>
      </c>
      <c r="B5" s="30">
        <v>4</v>
      </c>
      <c r="C5" s="30">
        <f>AVERAGE(ВосстРедач.Дин.ДТП2021!D2:D86)</f>
        <v>94.682164705882386</v>
      </c>
      <c r="D5" s="30">
        <f>MIN(ВосстРедач.Дин.ДТП2021!D2:D86)</f>
        <v>9.0167999999999999</v>
      </c>
      <c r="E5" s="30">
        <f>MAX(ВосстРедач.Дин.ДТП2021!D2:D86)</f>
        <v>212.16</v>
      </c>
    </row>
    <row r="6" spans="1:5" x14ac:dyDescent="0.25">
      <c r="A6" s="30">
        <v>2022</v>
      </c>
      <c r="B6" s="30">
        <v>5</v>
      </c>
      <c r="C6" s="30">
        <f>AVERAGE('Передел. Скач.Табл. 2022 ДТП'!B2:B86)</f>
        <v>100.82470588235293</v>
      </c>
      <c r="D6" s="30">
        <f>MIN('Передел. Скач.Табл. 2022 ДТП'!B2:B86)</f>
        <v>15.6</v>
      </c>
      <c r="E6" s="30">
        <f>MAX('Передел. Скач.Табл. 2022 ДТП'!B2:B86)</f>
        <v>240</v>
      </c>
    </row>
    <row r="7" spans="1:5" x14ac:dyDescent="0.25">
      <c r="A7" s="30">
        <v>2023</v>
      </c>
      <c r="B7" s="30">
        <v>6</v>
      </c>
      <c r="C7" s="30">
        <f>AVERAGE(Редач.Дин.ДТП2023!B2:B86)</f>
        <v>106.62470588235297</v>
      </c>
      <c r="D7" s="30">
        <f>MIN(Редач.Дин.ДТП2023!B2:B86)</f>
        <v>13.8</v>
      </c>
      <c r="E7" s="30">
        <f>MAX(Редач.Дин.ДТП2023!B2:B86)</f>
        <v>315.60000000000002</v>
      </c>
    </row>
    <row r="8" spans="1:5" x14ac:dyDescent="0.25">
      <c r="A8" s="30">
        <v>2024</v>
      </c>
      <c r="B8" s="30">
        <v>7</v>
      </c>
      <c r="C8" s="30">
        <f>AVERAGE('Рабочая таблица 2024'!C3:C87)</f>
        <v>104.68235294117649</v>
      </c>
      <c r="D8" s="30">
        <f>MIN('Рабочая таблица 2024'!C3:C87)</f>
        <v>11.1</v>
      </c>
      <c r="E8" s="30">
        <f>MAX('Рабочая таблица 2024'!C3:C87)</f>
        <v>265.10000000000002</v>
      </c>
    </row>
    <row r="23" ht="18.75" customHeight="1" x14ac:dyDescent="0.25"/>
    <row r="44" spans="1:1" x14ac:dyDescent="0.25">
      <c r="A44" s="49" t="s">
        <v>194</v>
      </c>
    </row>
    <row r="64" spans="1:1" x14ac:dyDescent="0.25">
      <c r="A64" t="s">
        <v>195</v>
      </c>
    </row>
    <row r="82" spans="1:1" x14ac:dyDescent="0.25">
      <c r="A82" t="s">
        <v>196</v>
      </c>
    </row>
    <row r="84" spans="1:1" x14ac:dyDescent="0.25">
      <c r="A84" t="s">
        <v>197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G11" sqref="G11"/>
    </sheetView>
  </sheetViews>
  <sheetFormatPr defaultRowHeight="15" x14ac:dyDescent="0.25"/>
  <cols>
    <col min="1" max="1" width="26.7109375" customWidth="1"/>
    <col min="2" max="2" width="10.7109375" customWidth="1"/>
    <col min="3" max="3" width="21.85546875" customWidth="1"/>
    <col min="4" max="4" width="24.28515625" customWidth="1"/>
    <col min="5" max="5" width="31.5703125" customWidth="1"/>
    <col min="6" max="6" width="28.7109375" customWidth="1"/>
    <col min="7" max="7" width="21.140625" customWidth="1"/>
    <col min="8" max="8" width="19.7109375" customWidth="1"/>
  </cols>
  <sheetData>
    <row r="1" spans="1:8" ht="45" customHeight="1" x14ac:dyDescent="0.25">
      <c r="A1" s="83" t="s">
        <v>154</v>
      </c>
      <c r="B1" s="84" t="s">
        <v>155</v>
      </c>
      <c r="C1" s="84"/>
      <c r="D1" s="84" t="s">
        <v>156</v>
      </c>
      <c r="E1" s="84"/>
      <c r="F1" s="84" t="s">
        <v>157</v>
      </c>
      <c r="G1" s="84"/>
      <c r="H1" s="84" t="s">
        <v>169</v>
      </c>
    </row>
    <row r="2" spans="1:8" ht="115.5" customHeight="1" x14ac:dyDescent="0.25">
      <c r="A2" s="83"/>
      <c r="B2" s="61" t="s">
        <v>190</v>
      </c>
      <c r="C2" s="61" t="s">
        <v>191</v>
      </c>
      <c r="D2" s="61" t="s">
        <v>189</v>
      </c>
      <c r="E2" s="61" t="s">
        <v>188</v>
      </c>
      <c r="F2" s="61" t="s">
        <v>186</v>
      </c>
      <c r="G2" s="61" t="s">
        <v>187</v>
      </c>
      <c r="H2" s="84"/>
    </row>
    <row r="3" spans="1:8" ht="15.75" x14ac:dyDescent="0.25">
      <c r="A3" s="58">
        <v>26687.317999999999</v>
      </c>
      <c r="B3" s="59" t="s">
        <v>13</v>
      </c>
      <c r="C3" s="59" t="s">
        <v>13</v>
      </c>
      <c r="D3" s="59" t="s">
        <v>13</v>
      </c>
      <c r="E3" s="60" t="s">
        <v>13</v>
      </c>
      <c r="F3" s="60" t="s">
        <v>13</v>
      </c>
      <c r="G3" s="60" t="s">
        <v>13</v>
      </c>
      <c r="H3" s="62">
        <v>2018</v>
      </c>
    </row>
    <row r="4" spans="1:8" ht="15.75" x14ac:dyDescent="0.25">
      <c r="A4" s="58">
        <v>27384</v>
      </c>
      <c r="B4" s="58">
        <f>A4-$A$3</f>
        <v>696.6820000000007</v>
      </c>
      <c r="C4" s="58">
        <f>A4-A3</f>
        <v>696.6820000000007</v>
      </c>
      <c r="D4" s="66">
        <f>A4/$A$3</f>
        <v>1.0261053583578537</v>
      </c>
      <c r="E4" s="66">
        <f>A4/A3</f>
        <v>1.0261053583578537</v>
      </c>
      <c r="F4" s="66">
        <f>D4-1</f>
        <v>2.6105358357853659E-2</v>
      </c>
      <c r="G4" s="66">
        <f>E4-1</f>
        <v>2.6105358357853659E-2</v>
      </c>
      <c r="H4" s="62">
        <v>2019</v>
      </c>
    </row>
    <row r="5" spans="1:8" ht="15.75" x14ac:dyDescent="0.25">
      <c r="A5" s="58">
        <v>18119</v>
      </c>
      <c r="B5" s="58">
        <f>A5-$A$3</f>
        <v>-8568.3179999999993</v>
      </c>
      <c r="C5" s="58">
        <f>A5-A4</f>
        <v>-9265</v>
      </c>
      <c r="D5" s="66">
        <f t="shared" ref="D5:D9" si="0">A5/$A$3</f>
        <v>0.67893671443492376</v>
      </c>
      <c r="E5" s="66">
        <f t="shared" ref="E5:E9" si="1">A5/A4</f>
        <v>0.66166374525270233</v>
      </c>
      <c r="F5" s="66">
        <f t="shared" ref="F5:F9" si="2">D5-1</f>
        <v>-0.32106328556507624</v>
      </c>
      <c r="G5" s="66">
        <f t="shared" ref="G5:G9" si="3">E5-1</f>
        <v>-0.33833625474729767</v>
      </c>
      <c r="H5" s="62">
        <v>2020</v>
      </c>
    </row>
    <row r="6" spans="1:8" ht="15.75" x14ac:dyDescent="0.25">
      <c r="A6" s="58">
        <v>8047.9840000000004</v>
      </c>
      <c r="B6" s="58">
        <f t="shared" ref="B6:B9" si="4">A6-$A$3</f>
        <v>-18639.333999999999</v>
      </c>
      <c r="C6" s="58">
        <f t="shared" ref="C6:C9" si="5">A6-A5</f>
        <v>-10071.016</v>
      </c>
      <c r="D6" s="66">
        <f t="shared" si="0"/>
        <v>0.30156585985897871</v>
      </c>
      <c r="E6" s="66">
        <f t="shared" si="1"/>
        <v>0.444173740272642</v>
      </c>
      <c r="F6" s="66">
        <f t="shared" si="2"/>
        <v>-0.69843414014102123</v>
      </c>
      <c r="G6" s="66">
        <f t="shared" si="3"/>
        <v>-0.555826259727358</v>
      </c>
      <c r="H6" s="62">
        <v>2021</v>
      </c>
    </row>
    <row r="7" spans="1:8" ht="15.75" x14ac:dyDescent="0.25">
      <c r="A7" s="58">
        <v>8570.1</v>
      </c>
      <c r="B7" s="58">
        <f t="shared" si="4"/>
        <v>-18117.218000000001</v>
      </c>
      <c r="C7" s="58">
        <f t="shared" si="5"/>
        <v>522.11599999999999</v>
      </c>
      <c r="D7" s="66">
        <f t="shared" si="0"/>
        <v>0.3211300588541719</v>
      </c>
      <c r="E7" s="66">
        <f t="shared" si="1"/>
        <v>1.0648753774858399</v>
      </c>
      <c r="F7" s="66">
        <f t="shared" si="2"/>
        <v>-0.6788699411458281</v>
      </c>
      <c r="G7" s="66">
        <f t="shared" si="3"/>
        <v>6.4875377485839936E-2</v>
      </c>
      <c r="H7" s="62">
        <v>2022</v>
      </c>
    </row>
    <row r="8" spans="1:8" ht="15.75" x14ac:dyDescent="0.25">
      <c r="A8" s="58">
        <v>9063.1</v>
      </c>
      <c r="B8" s="58">
        <f t="shared" si="4"/>
        <v>-17624.218000000001</v>
      </c>
      <c r="C8" s="58">
        <f t="shared" si="5"/>
        <v>493</v>
      </c>
      <c r="D8" s="66">
        <f t="shared" si="0"/>
        <v>0.33960325275098835</v>
      </c>
      <c r="E8" s="66">
        <f t="shared" si="1"/>
        <v>1.057525583132052</v>
      </c>
      <c r="F8" s="66">
        <f t="shared" si="2"/>
        <v>-0.66039674724901165</v>
      </c>
      <c r="G8" s="66">
        <f t="shared" si="3"/>
        <v>5.7525583132052027E-2</v>
      </c>
      <c r="H8" s="62">
        <v>2023</v>
      </c>
    </row>
    <row r="9" spans="1:8" ht="15.75" x14ac:dyDescent="0.25">
      <c r="A9" s="58">
        <v>8898</v>
      </c>
      <c r="B9" s="58">
        <f t="shared" si="4"/>
        <v>-17789.317999999999</v>
      </c>
      <c r="C9" s="58">
        <f t="shared" si="5"/>
        <v>-165.10000000000036</v>
      </c>
      <c r="D9" s="66">
        <f t="shared" si="0"/>
        <v>0.33341679369953925</v>
      </c>
      <c r="E9" s="66">
        <f t="shared" si="1"/>
        <v>0.98178327503834228</v>
      </c>
      <c r="F9" s="66">
        <f t="shared" si="2"/>
        <v>-0.66658320630046075</v>
      </c>
      <c r="G9" s="66">
        <f t="shared" si="3"/>
        <v>-1.8216724961657715E-2</v>
      </c>
      <c r="H9" s="62">
        <v>2024</v>
      </c>
    </row>
    <row r="10" spans="1:8" ht="15.75" x14ac:dyDescent="0.25">
      <c r="A10" s="62">
        <f>AVERAGE(A3:A9)</f>
        <v>15252.786000000002</v>
      </c>
      <c r="B10" s="63" t="s">
        <v>13</v>
      </c>
      <c r="C10" s="62">
        <f>SUM(C4:C9)/(COUNT(A3:A9)-1)</f>
        <v>-2964.8863333333334</v>
      </c>
      <c r="D10" s="64" t="s">
        <v>13</v>
      </c>
      <c r="E10" s="67">
        <f>POWER(PRODUCT(E4:E9),1/(COUNT(A3:A9)-1))</f>
        <v>0.83271792205252593</v>
      </c>
      <c r="F10" s="64" t="s">
        <v>13</v>
      </c>
      <c r="G10" s="67">
        <f>E10-1</f>
        <v>-0.16728207794747407</v>
      </c>
      <c r="H10" s="65" t="s">
        <v>185</v>
      </c>
    </row>
    <row r="11" spans="1:8" ht="15.75" x14ac:dyDescent="0.25">
      <c r="E11" s="68">
        <f>GEOMEAN(E4:E9)</f>
        <v>0.83271792205252593</v>
      </c>
      <c r="G11" s="68">
        <f>E11-1</f>
        <v>-0.16728207794747407</v>
      </c>
    </row>
    <row r="12" spans="1:8" x14ac:dyDescent="0.25">
      <c r="A12" t="s">
        <v>178</v>
      </c>
    </row>
  </sheetData>
  <mergeCells count="5">
    <mergeCell ref="A1:A2"/>
    <mergeCell ref="B1:C1"/>
    <mergeCell ref="D1:E1"/>
    <mergeCell ref="F1:G1"/>
    <mergeCell ref="H1:H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opLeftCell="A13" workbookViewId="0">
      <selection activeCell="H12" sqref="H12"/>
    </sheetView>
  </sheetViews>
  <sheetFormatPr defaultRowHeight="15" x14ac:dyDescent="0.25"/>
  <cols>
    <col min="1" max="1" width="28.140625" customWidth="1"/>
    <col min="2" max="2" width="21.85546875" customWidth="1"/>
  </cols>
  <sheetData>
    <row r="1" spans="1:9" x14ac:dyDescent="0.25">
      <c r="A1" t="s">
        <v>201</v>
      </c>
    </row>
    <row r="2" spans="1:9" ht="15.75" thickBot="1" x14ac:dyDescent="0.3"/>
    <row r="3" spans="1:9" x14ac:dyDescent="0.25">
      <c r="A3" s="72" t="s">
        <v>202</v>
      </c>
      <c r="B3" s="72"/>
    </row>
    <row r="4" spans="1:9" x14ac:dyDescent="0.25">
      <c r="A4" s="69" t="s">
        <v>203</v>
      </c>
      <c r="B4" s="69">
        <v>0.14808092627830288</v>
      </c>
    </row>
    <row r="5" spans="1:9" x14ac:dyDescent="0.25">
      <c r="A5" s="69" t="s">
        <v>204</v>
      </c>
      <c r="B5" s="69">
        <v>2.192796072744017E-2</v>
      </c>
    </row>
    <row r="6" spans="1:9" x14ac:dyDescent="0.25">
      <c r="A6" s="69" t="s">
        <v>205</v>
      </c>
      <c r="B6" s="69">
        <v>1.0143960254276798E-2</v>
      </c>
    </row>
    <row r="7" spans="1:9" x14ac:dyDescent="0.25">
      <c r="A7" s="69" t="s">
        <v>206</v>
      </c>
      <c r="B7" s="69">
        <v>38.339077745440434</v>
      </c>
    </row>
    <row r="8" spans="1:9" ht="15.75" thickBot="1" x14ac:dyDescent="0.3">
      <c r="A8" s="70" t="s">
        <v>207</v>
      </c>
      <c r="B8" s="70">
        <v>85</v>
      </c>
    </row>
    <row r="10" spans="1:9" ht="15.75" thickBot="1" x14ac:dyDescent="0.3">
      <c r="A10" t="s">
        <v>208</v>
      </c>
    </row>
    <row r="11" spans="1:9" x14ac:dyDescent="0.25">
      <c r="A11" s="71"/>
      <c r="B11" s="71" t="s">
        <v>213</v>
      </c>
      <c r="C11" s="71" t="s">
        <v>214</v>
      </c>
      <c r="D11" s="71" t="s">
        <v>215</v>
      </c>
      <c r="E11" s="71" t="s">
        <v>216</v>
      </c>
      <c r="F11" s="71" t="s">
        <v>217</v>
      </c>
    </row>
    <row r="12" spans="1:9" x14ac:dyDescent="0.25">
      <c r="A12" s="69" t="s">
        <v>209</v>
      </c>
      <c r="B12" s="69">
        <v>1</v>
      </c>
      <c r="C12" s="69">
        <v>2735.1982926249184</v>
      </c>
      <c r="D12" s="69">
        <v>2735.1982926249184</v>
      </c>
      <c r="E12" s="69">
        <v>1.8608248342639189</v>
      </c>
      <c r="F12" s="69">
        <v>0.17621732721856723</v>
      </c>
    </row>
    <row r="13" spans="1:9" x14ac:dyDescent="0.25">
      <c r="A13" s="69" t="s">
        <v>210</v>
      </c>
      <c r="B13" s="69">
        <v>83</v>
      </c>
      <c r="C13" s="69">
        <v>122000.44523678687</v>
      </c>
      <c r="D13" s="69">
        <v>1469.8848823709261</v>
      </c>
      <c r="E13" s="69"/>
      <c r="F13" s="69"/>
    </row>
    <row r="14" spans="1:9" ht="15.75" thickBot="1" x14ac:dyDescent="0.3">
      <c r="A14" s="70" t="s">
        <v>211</v>
      </c>
      <c r="B14" s="70">
        <v>84</v>
      </c>
      <c r="C14" s="70">
        <v>124735.64352941178</v>
      </c>
      <c r="D14" s="70"/>
      <c r="E14" s="70"/>
      <c r="F14" s="70"/>
    </row>
    <row r="15" spans="1:9" ht="15.75" thickBot="1" x14ac:dyDescent="0.3"/>
    <row r="16" spans="1:9" x14ac:dyDescent="0.25">
      <c r="A16" s="71"/>
      <c r="B16" s="71" t="s">
        <v>218</v>
      </c>
      <c r="C16" s="71" t="s">
        <v>206</v>
      </c>
      <c r="D16" s="71" t="s">
        <v>219</v>
      </c>
      <c r="E16" s="71" t="s">
        <v>220</v>
      </c>
      <c r="F16" s="71" t="s">
        <v>221</v>
      </c>
      <c r="G16" s="71" t="s">
        <v>222</v>
      </c>
      <c r="H16" s="71" t="s">
        <v>223</v>
      </c>
      <c r="I16" s="71" t="s">
        <v>224</v>
      </c>
    </row>
    <row r="17" spans="1:9" x14ac:dyDescent="0.25">
      <c r="A17" s="69" t="s">
        <v>212</v>
      </c>
      <c r="B17" s="69">
        <v>108.90951494446881</v>
      </c>
      <c r="C17" s="69">
        <v>5.1860813393506451</v>
      </c>
      <c r="D17" s="69">
        <v>21.000348397563986</v>
      </c>
      <c r="E17" s="69">
        <v>5.8421243750319675E-35</v>
      </c>
      <c r="F17" s="69">
        <v>98.594607743783428</v>
      </c>
      <c r="G17" s="69">
        <v>119.22442214515419</v>
      </c>
      <c r="H17" s="69">
        <v>98.594607743783428</v>
      </c>
      <c r="I17" s="69">
        <v>119.22442214515419</v>
      </c>
    </row>
    <row r="18" spans="1:9" ht="15.75" thickBot="1" x14ac:dyDescent="0.3">
      <c r="A18" s="70" t="s">
        <v>6</v>
      </c>
      <c r="B18" s="70">
        <v>-1.3524118122547755E-2</v>
      </c>
      <c r="C18" s="70">
        <v>9.9141665084752553E-3</v>
      </c>
      <c r="D18" s="70">
        <v>-1.3641205350935437</v>
      </c>
      <c r="E18" s="70">
        <v>0.17621732721857059</v>
      </c>
      <c r="F18" s="70">
        <v>-3.3242996561864663E-2</v>
      </c>
      <c r="G18" s="70">
        <v>6.1947603167691566E-3</v>
      </c>
      <c r="H18" s="70">
        <v>-3.3242996561864663E-2</v>
      </c>
      <c r="I18" s="70">
        <v>6.1947603167691566E-3</v>
      </c>
    </row>
    <row r="22" spans="1:9" x14ac:dyDescent="0.25">
      <c r="A22" t="s">
        <v>225</v>
      </c>
      <c r="F22" t="s">
        <v>229</v>
      </c>
    </row>
    <row r="23" spans="1:9" ht="15.75" thickBot="1" x14ac:dyDescent="0.3"/>
    <row r="24" spans="1:9" x14ac:dyDescent="0.25">
      <c r="A24" s="71" t="s">
        <v>226</v>
      </c>
      <c r="B24" s="71" t="s">
        <v>231</v>
      </c>
      <c r="C24" s="71" t="s">
        <v>227</v>
      </c>
      <c r="D24" s="71" t="s">
        <v>228</v>
      </c>
      <c r="F24" s="71" t="s">
        <v>230</v>
      </c>
      <c r="G24" s="71" t="s">
        <v>2</v>
      </c>
    </row>
    <row r="25" spans="1:9" x14ac:dyDescent="0.25">
      <c r="A25" s="69">
        <v>1</v>
      </c>
      <c r="B25" s="69">
        <v>108.40641775031003</v>
      </c>
      <c r="C25" s="69">
        <v>58.393582249689985</v>
      </c>
      <c r="D25" s="69">
        <v>1.5322303264245745</v>
      </c>
      <c r="F25" s="69">
        <v>0.58823529411764708</v>
      </c>
      <c r="G25" s="69">
        <v>11.1</v>
      </c>
    </row>
    <row r="26" spans="1:9" x14ac:dyDescent="0.25">
      <c r="A26" s="69">
        <v>2</v>
      </c>
      <c r="B26" s="69">
        <v>107.94659773414341</v>
      </c>
      <c r="C26" s="69">
        <v>15.153402265856585</v>
      </c>
      <c r="D26" s="69">
        <v>0.39762079334291212</v>
      </c>
      <c r="F26" s="69">
        <v>1.7647058823529411</v>
      </c>
      <c r="G26" s="69">
        <v>42.5</v>
      </c>
    </row>
    <row r="27" spans="1:9" x14ac:dyDescent="0.25">
      <c r="A27" s="69">
        <v>3</v>
      </c>
      <c r="B27" s="69">
        <v>108.4375232219919</v>
      </c>
      <c r="C27" s="69">
        <v>-10.53752322199189</v>
      </c>
      <c r="D27" s="69">
        <v>-0.27650149252874251</v>
      </c>
      <c r="F27" s="69">
        <v>2.9411764705882355</v>
      </c>
      <c r="G27" s="69">
        <v>46.7</v>
      </c>
    </row>
    <row r="28" spans="1:9" x14ac:dyDescent="0.25">
      <c r="A28" s="69">
        <v>4</v>
      </c>
      <c r="B28" s="69">
        <v>108.8500088247296</v>
      </c>
      <c r="C28" s="69">
        <v>-21.650008824729596</v>
      </c>
      <c r="D28" s="69">
        <v>-0.56808982786437057</v>
      </c>
      <c r="F28" s="69">
        <v>4.117647058823529</v>
      </c>
      <c r="G28" s="69">
        <v>49.2</v>
      </c>
    </row>
    <row r="29" spans="1:9" x14ac:dyDescent="0.25">
      <c r="A29" s="69">
        <v>5</v>
      </c>
      <c r="B29" s="69">
        <v>108.83377988298254</v>
      </c>
      <c r="C29" s="69">
        <v>-18.933779882982535</v>
      </c>
      <c r="D29" s="69">
        <v>-0.49681678384626576</v>
      </c>
      <c r="F29" s="69">
        <v>5.2941176470588234</v>
      </c>
      <c r="G29" s="69">
        <v>49.4</v>
      </c>
    </row>
    <row r="30" spans="1:9" x14ac:dyDescent="0.25">
      <c r="A30" s="69">
        <v>6</v>
      </c>
      <c r="B30" s="69">
        <v>107.64230507638608</v>
      </c>
      <c r="C30" s="69">
        <v>-3.2423050763860743</v>
      </c>
      <c r="D30" s="69">
        <v>-8.5077126186850177E-2</v>
      </c>
      <c r="F30" s="69">
        <v>6.4705882352941178</v>
      </c>
      <c r="G30" s="69">
        <v>52.5</v>
      </c>
    </row>
    <row r="31" spans="1:9" x14ac:dyDescent="0.25">
      <c r="A31" s="69">
        <v>7</v>
      </c>
      <c r="B31" s="69">
        <v>108.85406606016636</v>
      </c>
      <c r="C31" s="69">
        <v>-1.754066060166366</v>
      </c>
      <c r="D31" s="69">
        <v>-4.6026174596494246E-2</v>
      </c>
      <c r="F31" s="69">
        <v>7.6470588235294112</v>
      </c>
      <c r="G31" s="69">
        <v>53.9</v>
      </c>
    </row>
    <row r="32" spans="1:9" x14ac:dyDescent="0.25">
      <c r="A32" s="69">
        <v>8</v>
      </c>
      <c r="B32" s="69">
        <v>108.46051422280023</v>
      </c>
      <c r="C32" s="69">
        <v>-34.660514222800231</v>
      </c>
      <c r="D32" s="69">
        <v>-0.90948164122824915</v>
      </c>
      <c r="F32" s="69">
        <v>8.8235294117647065</v>
      </c>
      <c r="G32" s="69">
        <v>54.2</v>
      </c>
    </row>
    <row r="33" spans="1:7" x14ac:dyDescent="0.25">
      <c r="A33" s="69">
        <v>9</v>
      </c>
      <c r="B33" s="69">
        <v>108.7364062325002</v>
      </c>
      <c r="C33" s="69">
        <v>1.9635937674998019</v>
      </c>
      <c r="D33" s="69">
        <v>5.1524119662267422E-2</v>
      </c>
      <c r="F33" s="69">
        <v>10</v>
      </c>
      <c r="G33" s="69">
        <v>65.5</v>
      </c>
    </row>
    <row r="34" spans="1:7" x14ac:dyDescent="0.25">
      <c r="A34" s="69">
        <v>10</v>
      </c>
      <c r="B34" s="69">
        <v>108.8919335909095</v>
      </c>
      <c r="C34" s="69">
        <v>-62.1919335909095</v>
      </c>
      <c r="D34" s="69">
        <v>-1.631897942131828</v>
      </c>
      <c r="F34" s="69">
        <v>11.176470588235293</v>
      </c>
      <c r="G34" s="69">
        <v>65.599999999999994</v>
      </c>
    </row>
    <row r="35" spans="1:7" x14ac:dyDescent="0.25">
      <c r="A35" s="69">
        <v>11</v>
      </c>
      <c r="B35" s="69">
        <v>107.34342206587777</v>
      </c>
      <c r="C35" s="69">
        <v>59.056577934122231</v>
      </c>
      <c r="D35" s="69">
        <v>1.54962713708147</v>
      </c>
      <c r="F35" s="69">
        <v>12.352941176470589</v>
      </c>
      <c r="G35" s="69">
        <v>65.7</v>
      </c>
    </row>
    <row r="36" spans="1:7" x14ac:dyDescent="0.25">
      <c r="A36" s="69">
        <v>12</v>
      </c>
      <c r="B36" s="69">
        <v>104.65482738311529</v>
      </c>
      <c r="C36" s="69">
        <v>15.645172616884707</v>
      </c>
      <c r="D36" s="69">
        <v>0.4105247018967626</v>
      </c>
      <c r="F36" s="69">
        <v>13.529411764705882</v>
      </c>
      <c r="G36" s="69">
        <v>66.7</v>
      </c>
    </row>
    <row r="37" spans="1:7" x14ac:dyDescent="0.25">
      <c r="A37" s="69">
        <v>13</v>
      </c>
      <c r="B37" s="69">
        <v>106.68344510149745</v>
      </c>
      <c r="C37" s="69">
        <v>-52.483445101497452</v>
      </c>
      <c r="D37" s="69">
        <v>-1.3771500757719075</v>
      </c>
      <c r="F37" s="69">
        <v>14.705882352941176</v>
      </c>
      <c r="G37" s="69">
        <v>67.099999999999994</v>
      </c>
    </row>
    <row r="38" spans="1:7" x14ac:dyDescent="0.25">
      <c r="A38" s="69">
        <v>14</v>
      </c>
      <c r="B38" s="69">
        <v>105.13628598827799</v>
      </c>
      <c r="C38" s="69">
        <v>38.063714011721999</v>
      </c>
      <c r="D38" s="69">
        <v>0.99878059708217481</v>
      </c>
      <c r="F38" s="69">
        <v>15.882352941176471</v>
      </c>
      <c r="G38" s="69">
        <v>73.8</v>
      </c>
    </row>
    <row r="39" spans="1:7" x14ac:dyDescent="0.25">
      <c r="A39" s="69">
        <v>15</v>
      </c>
      <c r="B39" s="69">
        <v>106.92282199226655</v>
      </c>
      <c r="C39" s="69">
        <v>-32.722821992266546</v>
      </c>
      <c r="D39" s="69">
        <v>-0.85863717023474795</v>
      </c>
      <c r="F39" s="69">
        <v>17.058823529411768</v>
      </c>
      <c r="G39" s="69">
        <v>74.2</v>
      </c>
    </row>
    <row r="40" spans="1:7" x14ac:dyDescent="0.25">
      <c r="A40" s="69">
        <v>16</v>
      </c>
      <c r="B40" s="69">
        <v>104.51282414282853</v>
      </c>
      <c r="C40" s="69">
        <v>-39.012824142828535</v>
      </c>
      <c r="D40" s="69">
        <v>-1.0236849661921203</v>
      </c>
      <c r="F40" s="69">
        <v>18.235294117647062</v>
      </c>
      <c r="G40" s="69">
        <v>76.599999999999994</v>
      </c>
    </row>
    <row r="41" spans="1:7" x14ac:dyDescent="0.25">
      <c r="A41" s="69">
        <v>17</v>
      </c>
      <c r="B41" s="69">
        <v>105.85171183696076</v>
      </c>
      <c r="C41" s="69">
        <v>35.848288163039228</v>
      </c>
      <c r="D41" s="69">
        <v>0.94064847809722141</v>
      </c>
      <c r="F41" s="69">
        <v>19.411764705882355</v>
      </c>
      <c r="G41" s="69">
        <v>77</v>
      </c>
    </row>
    <row r="42" spans="1:7" x14ac:dyDescent="0.25">
      <c r="A42" s="69">
        <v>18</v>
      </c>
      <c r="B42" s="69">
        <v>104.78465891709175</v>
      </c>
      <c r="C42" s="69">
        <v>-27.384658917091741</v>
      </c>
      <c r="D42" s="69">
        <v>-0.71856535007807099</v>
      </c>
      <c r="F42" s="69">
        <v>20.588235294117649</v>
      </c>
      <c r="G42" s="69">
        <v>77.400000000000006</v>
      </c>
    </row>
    <row r="43" spans="1:7" x14ac:dyDescent="0.25">
      <c r="A43" s="69">
        <v>19</v>
      </c>
      <c r="B43" s="69">
        <v>102.47203471813609</v>
      </c>
      <c r="C43" s="69">
        <v>-5.4720347181360864</v>
      </c>
      <c r="D43" s="69">
        <v>-0.14358457247107448</v>
      </c>
      <c r="F43" s="69">
        <v>21.764705882352942</v>
      </c>
      <c r="G43" s="69">
        <v>81.599999999999994</v>
      </c>
    </row>
    <row r="44" spans="1:7" x14ac:dyDescent="0.25">
      <c r="A44" s="69">
        <v>20</v>
      </c>
      <c r="B44" s="69">
        <v>104.14767295351974</v>
      </c>
      <c r="C44" s="69">
        <v>0.65232704648025219</v>
      </c>
      <c r="D44" s="69">
        <v>1.7116868752632863E-2</v>
      </c>
      <c r="F44" s="69">
        <v>22.941176470588239</v>
      </c>
      <c r="G44" s="69">
        <v>82.2</v>
      </c>
    </row>
    <row r="45" spans="1:7" x14ac:dyDescent="0.25">
      <c r="A45" s="69">
        <v>21</v>
      </c>
      <c r="B45" s="69">
        <v>106.45218268160188</v>
      </c>
      <c r="C45" s="69">
        <v>8.047817318398117</v>
      </c>
      <c r="D45" s="69">
        <v>0.21117234603020021</v>
      </c>
      <c r="F45" s="69">
        <v>24.117647058823533</v>
      </c>
      <c r="G45" s="69">
        <v>82.5</v>
      </c>
    </row>
    <row r="46" spans="1:7" x14ac:dyDescent="0.25">
      <c r="A46" s="69">
        <v>22</v>
      </c>
      <c r="B46" s="69">
        <v>105.26341269862993</v>
      </c>
      <c r="C46" s="69">
        <v>7.5365873013700622</v>
      </c>
      <c r="D46" s="69">
        <v>0.19775782159634267</v>
      </c>
      <c r="F46" s="69">
        <v>25.294117647058826</v>
      </c>
      <c r="G46" s="69">
        <v>82.9</v>
      </c>
    </row>
    <row r="47" spans="1:7" x14ac:dyDescent="0.25">
      <c r="A47" s="69">
        <v>23</v>
      </c>
      <c r="B47" s="69">
        <v>105.35808152548778</v>
      </c>
      <c r="C47" s="69">
        <v>-17.258081525487782</v>
      </c>
      <c r="D47" s="69">
        <v>-0.45284695458806951</v>
      </c>
      <c r="F47" s="69">
        <v>26.47058823529412</v>
      </c>
      <c r="G47" s="69">
        <v>83.8</v>
      </c>
    </row>
    <row r="48" spans="1:7" x14ac:dyDescent="0.25">
      <c r="A48" s="69">
        <v>24</v>
      </c>
      <c r="B48" s="69">
        <v>102.53018842606303</v>
      </c>
      <c r="C48" s="69">
        <v>-7.4301884260630402</v>
      </c>
      <c r="D48" s="69">
        <v>-0.1949659465792255</v>
      </c>
      <c r="F48" s="69">
        <v>27.647058823529413</v>
      </c>
      <c r="G48" s="69">
        <v>85.3</v>
      </c>
    </row>
    <row r="49" spans="1:7" x14ac:dyDescent="0.25">
      <c r="A49" s="69">
        <v>25</v>
      </c>
      <c r="B49" s="69">
        <v>108.50920104804139</v>
      </c>
      <c r="C49" s="69">
        <v>-41.409201048041396</v>
      </c>
      <c r="D49" s="69">
        <v>-1.086565187378244</v>
      </c>
      <c r="F49" s="69">
        <v>28.823529411764707</v>
      </c>
      <c r="G49" s="69">
        <v>85.8</v>
      </c>
    </row>
    <row r="50" spans="1:7" x14ac:dyDescent="0.25">
      <c r="A50" s="69">
        <v>26</v>
      </c>
      <c r="B50" s="69">
        <v>107.41239506830277</v>
      </c>
      <c r="C50" s="69">
        <v>8.0876049316972285</v>
      </c>
      <c r="D50" s="69">
        <v>0.21221636123468404</v>
      </c>
      <c r="F50" s="69">
        <v>30.000000000000004</v>
      </c>
      <c r="G50" s="69">
        <v>86.3</v>
      </c>
    </row>
    <row r="51" spans="1:7" x14ac:dyDescent="0.25">
      <c r="A51" s="69">
        <v>27</v>
      </c>
      <c r="B51" s="69">
        <v>101.89185005067878</v>
      </c>
      <c r="C51" s="69">
        <v>-6.3918500506787836</v>
      </c>
      <c r="D51" s="69">
        <v>-0.16772025473159735</v>
      </c>
      <c r="F51" s="69">
        <v>31.176470588235297</v>
      </c>
      <c r="G51" s="69">
        <v>87.2</v>
      </c>
    </row>
    <row r="52" spans="1:7" x14ac:dyDescent="0.25">
      <c r="A52" s="69">
        <v>28</v>
      </c>
      <c r="B52" s="69">
        <v>105.91121795669997</v>
      </c>
      <c r="C52" s="69">
        <v>-6.8112179566999771</v>
      </c>
      <c r="D52" s="69">
        <v>-0.17872434454385158</v>
      </c>
      <c r="F52" s="69">
        <v>32.352941176470587</v>
      </c>
      <c r="G52" s="69">
        <v>88.1</v>
      </c>
    </row>
    <row r="53" spans="1:7" x14ac:dyDescent="0.25">
      <c r="A53" s="69">
        <v>29</v>
      </c>
      <c r="B53" s="69">
        <v>108.58223128590315</v>
      </c>
      <c r="C53" s="69">
        <v>-26.982231285903154</v>
      </c>
      <c r="D53" s="69">
        <v>-0.70800576806678528</v>
      </c>
      <c r="F53" s="69">
        <v>33.529411764705884</v>
      </c>
      <c r="G53" s="69">
        <v>88.9</v>
      </c>
    </row>
    <row r="54" spans="1:7" x14ac:dyDescent="0.25">
      <c r="A54" s="69">
        <v>30</v>
      </c>
      <c r="B54" s="69">
        <v>108.88381912003597</v>
      </c>
      <c r="C54" s="69">
        <v>-42.183819120035963</v>
      </c>
      <c r="D54" s="69">
        <v>-1.1068909364688115</v>
      </c>
      <c r="F54" s="69">
        <v>34.705882352941174</v>
      </c>
      <c r="G54" s="69">
        <v>89.3</v>
      </c>
    </row>
    <row r="55" spans="1:7" x14ac:dyDescent="0.25">
      <c r="A55" s="69">
        <v>31</v>
      </c>
      <c r="B55" s="69">
        <v>106.19387202546122</v>
      </c>
      <c r="C55" s="69">
        <v>2.9061279745387765</v>
      </c>
      <c r="D55" s="69">
        <v>7.6255938469724172E-2</v>
      </c>
      <c r="F55" s="69">
        <v>35.882352941176471</v>
      </c>
      <c r="G55" s="69">
        <v>89.6</v>
      </c>
    </row>
    <row r="56" spans="1:7" x14ac:dyDescent="0.25">
      <c r="A56" s="69">
        <v>32</v>
      </c>
      <c r="B56" s="69">
        <v>104.68187561936038</v>
      </c>
      <c r="C56" s="69">
        <v>15.818124380639617</v>
      </c>
      <c r="D56" s="69">
        <v>0.41506290502156401</v>
      </c>
      <c r="F56" s="69">
        <v>37.058823529411761</v>
      </c>
      <c r="G56" s="69">
        <v>89.9</v>
      </c>
    </row>
    <row r="57" spans="1:7" x14ac:dyDescent="0.25">
      <c r="A57" s="69">
        <v>33</v>
      </c>
      <c r="B57" s="69">
        <v>108.25900486277426</v>
      </c>
      <c r="C57" s="69">
        <v>-15.559004862774259</v>
      </c>
      <c r="D57" s="69">
        <v>-0.40826368551582931</v>
      </c>
      <c r="F57" s="69">
        <v>38.235294117647058</v>
      </c>
      <c r="G57" s="69">
        <v>92.7</v>
      </c>
    </row>
    <row r="58" spans="1:7" x14ac:dyDescent="0.25">
      <c r="A58" s="69">
        <v>34</v>
      </c>
      <c r="B58" s="69">
        <v>108.68636699544678</v>
      </c>
      <c r="C58" s="69">
        <v>14.21363300455323</v>
      </c>
      <c r="D58" s="69">
        <v>0.3729615258937351</v>
      </c>
      <c r="F58" s="69">
        <v>39.411764705882355</v>
      </c>
      <c r="G58" s="69">
        <v>93</v>
      </c>
    </row>
    <row r="59" spans="1:7" x14ac:dyDescent="0.25">
      <c r="A59" s="69">
        <v>35</v>
      </c>
      <c r="B59" s="69">
        <v>74.525797029703398</v>
      </c>
      <c r="C59" s="69">
        <v>15.074202970296597</v>
      </c>
      <c r="D59" s="69">
        <v>0.39554262725319389</v>
      </c>
      <c r="F59" s="69">
        <v>40.588235294117645</v>
      </c>
      <c r="G59" s="69">
        <v>95.1</v>
      </c>
    </row>
    <row r="60" spans="1:7" x14ac:dyDescent="0.25">
      <c r="A60" s="69">
        <v>36</v>
      </c>
      <c r="B60" s="69">
        <v>106.20739614358376</v>
      </c>
      <c r="C60" s="69">
        <v>-0.80739614358375889</v>
      </c>
      <c r="D60" s="69">
        <v>-2.1185835993883618E-2</v>
      </c>
      <c r="F60" s="69">
        <v>41.764705882352942</v>
      </c>
      <c r="G60" s="69">
        <v>95.1</v>
      </c>
    </row>
    <row r="61" spans="1:7" x14ac:dyDescent="0.25">
      <c r="A61" s="69">
        <v>37</v>
      </c>
      <c r="B61" s="69">
        <v>108.46321904642474</v>
      </c>
      <c r="C61" s="69">
        <v>8.5367809535752599</v>
      </c>
      <c r="D61" s="69">
        <v>0.22400260719029882</v>
      </c>
      <c r="F61" s="69">
        <v>42.941176470588232</v>
      </c>
      <c r="G61" s="69">
        <v>95.5</v>
      </c>
    </row>
    <row r="62" spans="1:7" x14ac:dyDescent="0.25">
      <c r="A62" s="69">
        <v>38</v>
      </c>
      <c r="B62" s="69">
        <v>106.43324891623031</v>
      </c>
      <c r="C62" s="69">
        <v>-13.433248916230312</v>
      </c>
      <c r="D62" s="69">
        <v>-0.35248447824019924</v>
      </c>
      <c r="F62" s="69">
        <v>44.117647058823529</v>
      </c>
      <c r="G62" s="69">
        <v>96.7</v>
      </c>
    </row>
    <row r="63" spans="1:7" x14ac:dyDescent="0.25">
      <c r="A63" s="69">
        <v>39</v>
      </c>
      <c r="B63" s="69">
        <v>108.751282762435</v>
      </c>
      <c r="C63" s="69">
        <v>2.3487172375649976</v>
      </c>
      <c r="D63" s="69">
        <v>6.1629645603945585E-2</v>
      </c>
      <c r="F63" s="69">
        <v>45.294117647058826</v>
      </c>
      <c r="G63" s="69">
        <v>97</v>
      </c>
    </row>
    <row r="64" spans="1:7" x14ac:dyDescent="0.25">
      <c r="A64" s="69">
        <v>40</v>
      </c>
      <c r="B64" s="69">
        <v>107.38128959662092</v>
      </c>
      <c r="C64" s="69">
        <v>-18.481289596620911</v>
      </c>
      <c r="D64" s="69">
        <v>-0.48494357257090343</v>
      </c>
      <c r="F64" s="69">
        <v>46.470588235294116</v>
      </c>
      <c r="G64" s="69">
        <v>97.9</v>
      </c>
    </row>
    <row r="65" spans="1:7" x14ac:dyDescent="0.25">
      <c r="A65" s="69">
        <v>41</v>
      </c>
      <c r="B65" s="69">
        <v>107.55439830858953</v>
      </c>
      <c r="C65" s="69">
        <v>81.245601691410485</v>
      </c>
      <c r="D65" s="69">
        <v>2.1318605573449259</v>
      </c>
      <c r="F65" s="69">
        <v>47.647058823529413</v>
      </c>
      <c r="G65" s="69">
        <v>98.4</v>
      </c>
    </row>
    <row r="66" spans="1:7" x14ac:dyDescent="0.25">
      <c r="A66" s="69">
        <v>42</v>
      </c>
      <c r="B66" s="69">
        <v>108.23466145015368</v>
      </c>
      <c r="C66" s="69">
        <v>40.265338549846319</v>
      </c>
      <c r="D66" s="69">
        <v>1.0565505737602625</v>
      </c>
      <c r="F66" s="69">
        <v>48.823529411764703</v>
      </c>
      <c r="G66" s="69">
        <v>99.1</v>
      </c>
    </row>
    <row r="67" spans="1:7" x14ac:dyDescent="0.25">
      <c r="A67" s="69">
        <v>43</v>
      </c>
      <c r="B67" s="69">
        <v>108.54030651972326</v>
      </c>
      <c r="C67" s="69">
        <v>8.2596934802767379</v>
      </c>
      <c r="D67" s="69">
        <v>0.21673191384860699</v>
      </c>
      <c r="F67" s="69">
        <v>50</v>
      </c>
      <c r="G67" s="69">
        <v>104.1</v>
      </c>
    </row>
    <row r="68" spans="1:7" x14ac:dyDescent="0.25">
      <c r="A68" s="69">
        <v>44</v>
      </c>
      <c r="B68" s="69">
        <v>108.60927952214826</v>
      </c>
      <c r="C68" s="69">
        <v>156.49072047785177</v>
      </c>
      <c r="D68" s="69">
        <v>4.10627021810207</v>
      </c>
      <c r="F68" s="69">
        <v>51.176470588235297</v>
      </c>
      <c r="G68" s="69">
        <v>104.4</v>
      </c>
    </row>
    <row r="69" spans="1:7" x14ac:dyDescent="0.25">
      <c r="A69" s="69">
        <v>45</v>
      </c>
      <c r="B69" s="69">
        <v>107.6301333700758</v>
      </c>
      <c r="C69" s="69">
        <v>-24.730133370075791</v>
      </c>
      <c r="D69" s="69">
        <v>-0.64891138488691824</v>
      </c>
      <c r="F69" s="69">
        <v>52.352941176470587</v>
      </c>
      <c r="G69" s="69">
        <v>104.8</v>
      </c>
    </row>
    <row r="70" spans="1:7" x14ac:dyDescent="0.25">
      <c r="A70" s="69">
        <v>46</v>
      </c>
      <c r="B70" s="69">
        <v>108.56329752053159</v>
      </c>
      <c r="C70" s="69">
        <v>-59.163297520531593</v>
      </c>
      <c r="D70" s="69">
        <v>-1.5524274274630518</v>
      </c>
      <c r="F70" s="69">
        <v>53.529411764705884</v>
      </c>
      <c r="G70" s="69">
        <v>105.4</v>
      </c>
    </row>
    <row r="71" spans="1:7" x14ac:dyDescent="0.25">
      <c r="A71" s="69">
        <v>47</v>
      </c>
      <c r="B71" s="69">
        <v>107.05941558530428</v>
      </c>
      <c r="C71" s="69">
        <v>-21.259415585304282</v>
      </c>
      <c r="D71" s="69">
        <v>-0.55784077679254562</v>
      </c>
      <c r="F71" s="69">
        <v>54.705882352941174</v>
      </c>
      <c r="G71" s="69">
        <v>107.1</v>
      </c>
    </row>
    <row r="72" spans="1:7" x14ac:dyDescent="0.25">
      <c r="A72" s="69">
        <v>48</v>
      </c>
      <c r="B72" s="69">
        <v>107.15408441216211</v>
      </c>
      <c r="C72" s="69">
        <v>-54.654084412162106</v>
      </c>
      <c r="D72" s="69">
        <v>-1.4341070092463455</v>
      </c>
      <c r="F72" s="69">
        <v>55.882352941176471</v>
      </c>
      <c r="G72" s="69">
        <v>108.4</v>
      </c>
    </row>
    <row r="73" spans="1:7" x14ac:dyDescent="0.25">
      <c r="A73" s="69">
        <v>49</v>
      </c>
      <c r="B73" s="69">
        <v>107.64906713544735</v>
      </c>
      <c r="C73" s="69">
        <v>69.150932864552658</v>
      </c>
      <c r="D73" s="69">
        <v>1.8145000247211223</v>
      </c>
      <c r="F73" s="69">
        <v>57.058823529411761</v>
      </c>
      <c r="G73" s="69">
        <v>108.6</v>
      </c>
    </row>
    <row r="74" spans="1:7" x14ac:dyDescent="0.25">
      <c r="A74" s="69">
        <v>50</v>
      </c>
      <c r="B74" s="69">
        <v>108.751282762435</v>
      </c>
      <c r="C74" s="69">
        <v>-54.851282762434998</v>
      </c>
      <c r="D74" s="69">
        <v>-1.4392814356296597</v>
      </c>
      <c r="F74" s="69">
        <v>58.235294117647058</v>
      </c>
      <c r="G74" s="69">
        <v>109.1</v>
      </c>
    </row>
    <row r="75" spans="1:7" x14ac:dyDescent="0.25">
      <c r="A75" s="69">
        <v>51</v>
      </c>
      <c r="B75" s="69">
        <v>105.54741917920344</v>
      </c>
      <c r="C75" s="69">
        <v>-8.8474191792034418</v>
      </c>
      <c r="D75" s="69">
        <v>-0.23215366234939119</v>
      </c>
      <c r="F75" s="69">
        <v>59.411764705882355</v>
      </c>
      <c r="G75" s="69">
        <v>109.6</v>
      </c>
    </row>
    <row r="76" spans="1:7" x14ac:dyDescent="0.25">
      <c r="A76" s="69">
        <v>52</v>
      </c>
      <c r="B76" s="69">
        <v>108.85947570741538</v>
      </c>
      <c r="C76" s="69">
        <v>-66.359475707415385</v>
      </c>
      <c r="D76" s="69">
        <v>-1.7412530145823775</v>
      </c>
      <c r="F76" s="69">
        <v>60.588235294117645</v>
      </c>
      <c r="G76" s="69">
        <v>110.7</v>
      </c>
    </row>
    <row r="77" spans="1:7" x14ac:dyDescent="0.25">
      <c r="A77" s="69">
        <v>53</v>
      </c>
      <c r="B77" s="69">
        <v>99.009860478763855</v>
      </c>
      <c r="C77" s="69">
        <v>-16.809860478763852</v>
      </c>
      <c r="D77" s="69">
        <v>-0.4410857668980333</v>
      </c>
      <c r="F77" s="69">
        <v>61.764705882352942</v>
      </c>
      <c r="G77" s="69">
        <v>111.1</v>
      </c>
    </row>
    <row r="78" spans="1:7" x14ac:dyDescent="0.25">
      <c r="A78" s="69">
        <v>54</v>
      </c>
      <c r="B78" s="69">
        <v>104.43032702228099</v>
      </c>
      <c r="C78" s="69">
        <v>-38.730327022280989</v>
      </c>
      <c r="D78" s="69">
        <v>-1.0162723253066939</v>
      </c>
      <c r="F78" s="69">
        <v>62.941176470588232</v>
      </c>
      <c r="G78" s="69">
        <v>111.7</v>
      </c>
    </row>
    <row r="79" spans="1:7" x14ac:dyDescent="0.25">
      <c r="A79" s="69">
        <v>55</v>
      </c>
      <c r="B79" s="69">
        <v>103.57830758056049</v>
      </c>
      <c r="C79" s="69">
        <v>56.821692419439515</v>
      </c>
      <c r="D79" s="69">
        <v>1.4909844022165091</v>
      </c>
      <c r="F79" s="69">
        <v>64.117647058823536</v>
      </c>
      <c r="G79" s="69">
        <v>112.8</v>
      </c>
    </row>
    <row r="80" spans="1:7" x14ac:dyDescent="0.25">
      <c r="A80" s="69">
        <v>56</v>
      </c>
      <c r="B80" s="69">
        <v>103.10361103445906</v>
      </c>
      <c r="C80" s="69">
        <v>8.5963889655409389</v>
      </c>
      <c r="D80" s="69">
        <v>0.22556670379326374</v>
      </c>
      <c r="F80" s="69">
        <v>65.294117647058826</v>
      </c>
      <c r="G80" s="69">
        <v>113.7</v>
      </c>
    </row>
    <row r="81" spans="1:7" x14ac:dyDescent="0.25">
      <c r="A81" s="69">
        <v>57</v>
      </c>
      <c r="B81" s="69">
        <v>104.33295337179865</v>
      </c>
      <c r="C81" s="69">
        <v>9.3670466282013507</v>
      </c>
      <c r="D81" s="69">
        <v>0.2457885329143232</v>
      </c>
      <c r="F81" s="69">
        <v>66.47058823529413</v>
      </c>
      <c r="G81" s="69">
        <v>114.5</v>
      </c>
    </row>
    <row r="82" spans="1:7" x14ac:dyDescent="0.25">
      <c r="A82" s="69">
        <v>58</v>
      </c>
      <c r="B82" s="69">
        <v>103.96780218248986</v>
      </c>
      <c r="C82" s="69">
        <v>23.132197817510132</v>
      </c>
      <c r="D82" s="69">
        <v>0.6069820286291745</v>
      </c>
      <c r="F82" s="69">
        <v>67.64705882352942</v>
      </c>
      <c r="G82" s="69">
        <v>115.5</v>
      </c>
    </row>
    <row r="83" spans="1:7" x14ac:dyDescent="0.25">
      <c r="A83" s="69">
        <v>59</v>
      </c>
      <c r="B83" s="69">
        <v>107.02560528999791</v>
      </c>
      <c r="C83" s="69">
        <v>64.174394710002076</v>
      </c>
      <c r="D83" s="69">
        <v>1.683917135519255</v>
      </c>
      <c r="F83" s="69">
        <v>68.82352941176471</v>
      </c>
      <c r="G83" s="69">
        <v>116.4</v>
      </c>
    </row>
    <row r="84" spans="1:7" x14ac:dyDescent="0.25">
      <c r="A84" s="69">
        <v>60</v>
      </c>
      <c r="B84" s="69">
        <v>103.71219634997371</v>
      </c>
      <c r="C84" s="69">
        <v>19.387803650026285</v>
      </c>
      <c r="D84" s="69">
        <v>0.50873023320115018</v>
      </c>
      <c r="F84" s="69">
        <v>70.000000000000014</v>
      </c>
      <c r="G84" s="69">
        <v>116.8</v>
      </c>
    </row>
    <row r="85" spans="1:7" x14ac:dyDescent="0.25">
      <c r="A85" s="69">
        <v>61</v>
      </c>
      <c r="B85" s="69">
        <v>101.23593032173521</v>
      </c>
      <c r="C85" s="69">
        <v>-17.435930321735214</v>
      </c>
      <c r="D85" s="69">
        <v>-0.45751365439701758</v>
      </c>
      <c r="F85" s="69">
        <v>71.176470588235304</v>
      </c>
      <c r="G85" s="69">
        <v>117</v>
      </c>
    </row>
    <row r="86" spans="1:7" x14ac:dyDescent="0.25">
      <c r="A86" s="69">
        <v>62</v>
      </c>
      <c r="B86" s="69">
        <v>74.807098686652395</v>
      </c>
      <c r="C86" s="69">
        <v>7.6929013133476047</v>
      </c>
      <c r="D86" s="69">
        <v>0.20185945503566394</v>
      </c>
      <c r="F86" s="69">
        <v>72.352941176470594</v>
      </c>
      <c r="G86" s="69">
        <v>118.1</v>
      </c>
    </row>
    <row r="87" spans="1:7" x14ac:dyDescent="0.25">
      <c r="A87" s="69">
        <v>63</v>
      </c>
      <c r="B87" s="69">
        <v>97.430243482050273</v>
      </c>
      <c r="C87" s="69">
        <v>-48.23024348205027</v>
      </c>
      <c r="D87" s="69">
        <v>-1.2655473233007712</v>
      </c>
      <c r="F87" s="69">
        <v>73.529411764705884</v>
      </c>
      <c r="G87" s="69">
        <v>120.3</v>
      </c>
    </row>
    <row r="88" spans="1:7" x14ac:dyDescent="0.25">
      <c r="A88" s="69">
        <v>64</v>
      </c>
      <c r="B88" s="69">
        <v>103.37274098509776</v>
      </c>
      <c r="C88" s="69">
        <v>-18.072740985097766</v>
      </c>
      <c r="D88" s="69">
        <v>-0.47422337784611862</v>
      </c>
      <c r="F88" s="69">
        <v>74.705882352941188</v>
      </c>
      <c r="G88" s="69">
        <v>120.5</v>
      </c>
    </row>
    <row r="89" spans="1:7" x14ac:dyDescent="0.25">
      <c r="A89" s="69">
        <v>65</v>
      </c>
      <c r="B89" s="69">
        <v>105.05784610316721</v>
      </c>
      <c r="C89" s="69">
        <v>4.5421538968327866</v>
      </c>
      <c r="D89" s="69">
        <v>0.11918477476267014</v>
      </c>
      <c r="F89" s="69">
        <v>75.882352941176478</v>
      </c>
      <c r="G89" s="69">
        <v>122.4</v>
      </c>
    </row>
    <row r="90" spans="1:7" x14ac:dyDescent="0.25">
      <c r="A90" s="69">
        <v>66</v>
      </c>
      <c r="B90" s="69">
        <v>104.35729678441923</v>
      </c>
      <c r="C90" s="69">
        <v>12.042703215580772</v>
      </c>
      <c r="D90" s="69">
        <v>0.31599697035441876</v>
      </c>
      <c r="F90" s="69">
        <v>77.058823529411768</v>
      </c>
      <c r="G90" s="69">
        <v>122.8</v>
      </c>
    </row>
    <row r="91" spans="1:7" x14ac:dyDescent="0.25">
      <c r="A91" s="69">
        <v>67</v>
      </c>
      <c r="B91" s="69">
        <v>104.86309880220253</v>
      </c>
      <c r="C91" s="69">
        <v>-0.7630988022025349</v>
      </c>
      <c r="D91" s="69">
        <v>-2.0023486858424405E-2</v>
      </c>
      <c r="F91" s="69">
        <v>78.235294117647072</v>
      </c>
      <c r="G91" s="69">
        <v>122.9</v>
      </c>
    </row>
    <row r="92" spans="1:7" x14ac:dyDescent="0.25">
      <c r="A92" s="69">
        <v>68</v>
      </c>
      <c r="B92" s="69">
        <v>105.42705452791276</v>
      </c>
      <c r="C92" s="69">
        <v>2.9729454720872468</v>
      </c>
      <c r="D92" s="69">
        <v>7.800920984194093E-2</v>
      </c>
      <c r="F92" s="69">
        <v>79.411764705882362</v>
      </c>
      <c r="G92" s="69">
        <v>123.1</v>
      </c>
    </row>
    <row r="93" spans="1:7" x14ac:dyDescent="0.25">
      <c r="A93" s="69">
        <v>69</v>
      </c>
      <c r="B93" s="69">
        <v>103.32270174804434</v>
      </c>
      <c r="C93" s="69">
        <v>5.2772982519556564</v>
      </c>
      <c r="D93" s="69">
        <v>0.138474745198164</v>
      </c>
      <c r="F93" s="69">
        <v>80.588235294117652</v>
      </c>
      <c r="G93" s="69">
        <v>123.1</v>
      </c>
    </row>
    <row r="94" spans="1:7" x14ac:dyDescent="0.25">
      <c r="A94" s="69">
        <v>70</v>
      </c>
      <c r="B94" s="69">
        <v>105.02674063148535</v>
      </c>
      <c r="C94" s="69">
        <v>28.273259368514658</v>
      </c>
      <c r="D94" s="69">
        <v>0.74188196309083043</v>
      </c>
      <c r="F94" s="69">
        <v>81.764705882352942</v>
      </c>
      <c r="G94" s="69">
        <v>124.1</v>
      </c>
    </row>
    <row r="95" spans="1:7" x14ac:dyDescent="0.25">
      <c r="A95" s="69">
        <v>71</v>
      </c>
      <c r="B95" s="69">
        <v>107.76266972767677</v>
      </c>
      <c r="C95" s="69">
        <v>14.63733027232324</v>
      </c>
      <c r="D95" s="69">
        <v>0.38407921687772828</v>
      </c>
      <c r="F95" s="69">
        <v>82.941176470588246</v>
      </c>
      <c r="G95" s="69">
        <v>125.8</v>
      </c>
    </row>
    <row r="96" spans="1:7" x14ac:dyDescent="0.25">
      <c r="A96" s="69">
        <v>72</v>
      </c>
      <c r="B96" s="69">
        <v>106.83491522446998</v>
      </c>
      <c r="C96" s="69">
        <v>-20.534915224469984</v>
      </c>
      <c r="D96" s="69">
        <v>-0.53883010161887535</v>
      </c>
      <c r="F96" s="69">
        <v>84.117647058823536</v>
      </c>
      <c r="G96" s="69">
        <v>127.1</v>
      </c>
    </row>
    <row r="97" spans="1:7" x14ac:dyDescent="0.25">
      <c r="A97" s="69">
        <v>73</v>
      </c>
      <c r="B97" s="69">
        <v>99.906509510288771</v>
      </c>
      <c r="C97" s="69">
        <v>-4.8065095102887767</v>
      </c>
      <c r="D97" s="69">
        <v>-0.1261213878679569</v>
      </c>
      <c r="F97" s="69">
        <v>85.294117647058826</v>
      </c>
      <c r="G97" s="69">
        <v>131.5</v>
      </c>
    </row>
    <row r="98" spans="1:7" x14ac:dyDescent="0.25">
      <c r="A98" s="69">
        <v>74</v>
      </c>
      <c r="B98" s="69">
        <v>103.9962028305472</v>
      </c>
      <c r="C98" s="69">
        <v>18.803797169452793</v>
      </c>
      <c r="D98" s="69">
        <v>0.49340607588987412</v>
      </c>
      <c r="F98" s="69">
        <v>86.47058823529413</v>
      </c>
      <c r="G98" s="69">
        <v>133.30000000000001</v>
      </c>
    </row>
    <row r="99" spans="1:7" x14ac:dyDescent="0.25">
      <c r="A99" s="69">
        <v>75</v>
      </c>
      <c r="B99" s="69">
        <v>102.40441412752334</v>
      </c>
      <c r="C99" s="69">
        <v>21.695585872476656</v>
      </c>
      <c r="D99" s="69">
        <v>0.56928575611635435</v>
      </c>
      <c r="F99" s="69">
        <v>87.64705882352942</v>
      </c>
      <c r="G99" s="69">
        <v>141.69999999999999</v>
      </c>
    </row>
    <row r="100" spans="1:7" x14ac:dyDescent="0.25">
      <c r="A100" s="69">
        <v>76</v>
      </c>
      <c r="B100" s="69">
        <v>101.08175537513817</v>
      </c>
      <c r="C100" s="69">
        <v>-24.081755375138172</v>
      </c>
      <c r="D100" s="69">
        <v>-0.63189813807870321</v>
      </c>
      <c r="F100" s="69">
        <v>88.82352941176471</v>
      </c>
      <c r="G100" s="69">
        <v>143.19999999999999</v>
      </c>
    </row>
    <row r="101" spans="1:7" x14ac:dyDescent="0.25">
      <c r="A101" s="69">
        <v>77</v>
      </c>
      <c r="B101" s="69">
        <v>102.45174854095225</v>
      </c>
      <c r="C101" s="69">
        <v>-13.151748540952255</v>
      </c>
      <c r="D101" s="69">
        <v>-0.34509799165582417</v>
      </c>
      <c r="F101" s="69">
        <v>90.000000000000014</v>
      </c>
      <c r="G101" s="69">
        <v>148.5</v>
      </c>
    </row>
    <row r="102" spans="1:7" x14ac:dyDescent="0.25">
      <c r="A102" s="69">
        <v>78</v>
      </c>
      <c r="B102" s="69">
        <v>95.05405592791864</v>
      </c>
      <c r="C102" s="69">
        <v>-29.454055927918645</v>
      </c>
      <c r="D102" s="69">
        <v>-0.77286571555048</v>
      </c>
      <c r="F102" s="69">
        <v>91.176470588235304</v>
      </c>
      <c r="G102" s="69">
        <v>160.4</v>
      </c>
    </row>
    <row r="103" spans="1:7" x14ac:dyDescent="0.25">
      <c r="A103" s="69">
        <v>79</v>
      </c>
      <c r="B103" s="69">
        <v>108.21572768478211</v>
      </c>
      <c r="C103" s="69">
        <v>111.1842723152179</v>
      </c>
      <c r="D103" s="69">
        <v>2.9174424191749182</v>
      </c>
      <c r="F103" s="69">
        <v>92.352941176470594</v>
      </c>
      <c r="G103" s="69">
        <v>166.4</v>
      </c>
    </row>
    <row r="104" spans="1:7" x14ac:dyDescent="0.25">
      <c r="A104" s="69">
        <v>80</v>
      </c>
      <c r="B104" s="69">
        <v>101.98922370116112</v>
      </c>
      <c r="C104" s="69">
        <v>-3.5892237011611172</v>
      </c>
      <c r="D104" s="69">
        <v>-9.4180168288444333E-2</v>
      </c>
      <c r="F104" s="69">
        <v>93.529411764705884</v>
      </c>
      <c r="G104" s="69">
        <v>166.8</v>
      </c>
    </row>
    <row r="105" spans="1:7" x14ac:dyDescent="0.25">
      <c r="A105" s="69">
        <v>81</v>
      </c>
      <c r="B105" s="69">
        <v>99.214074662414333</v>
      </c>
      <c r="C105" s="69">
        <v>32.285925337585667</v>
      </c>
      <c r="D105" s="69">
        <v>0.84717313124236293</v>
      </c>
      <c r="F105" s="69">
        <v>94.705882352941188</v>
      </c>
      <c r="G105" s="69">
        <v>171.2</v>
      </c>
    </row>
    <row r="106" spans="1:7" x14ac:dyDescent="0.25">
      <c r="A106" s="69">
        <v>82</v>
      </c>
      <c r="B106" s="69">
        <v>105.22013552063778</v>
      </c>
      <c r="C106" s="69">
        <v>-28.620135520637788</v>
      </c>
      <c r="D106" s="69">
        <v>-0.75098389072260108</v>
      </c>
      <c r="F106" s="69">
        <v>95.882352941176478</v>
      </c>
      <c r="G106" s="69">
        <v>176.8</v>
      </c>
    </row>
    <row r="107" spans="1:7" x14ac:dyDescent="0.25">
      <c r="A107" s="69">
        <v>83</v>
      </c>
      <c r="B107" s="69">
        <v>92.49799760275711</v>
      </c>
      <c r="C107" s="69">
        <v>33.302002397242887</v>
      </c>
      <c r="D107" s="69">
        <v>0.87383469274982417</v>
      </c>
      <c r="F107" s="69">
        <v>97.058823529411768</v>
      </c>
      <c r="G107" s="69">
        <v>188.8</v>
      </c>
    </row>
    <row r="108" spans="1:7" x14ac:dyDescent="0.25">
      <c r="A108" s="69">
        <v>84</v>
      </c>
      <c r="B108" s="69">
        <v>105.11329498746966</v>
      </c>
      <c r="C108" s="69">
        <v>12.986705012530336</v>
      </c>
      <c r="D108" s="69">
        <v>0.34076729828704178</v>
      </c>
      <c r="F108" s="69">
        <v>98.235294117647072</v>
      </c>
      <c r="G108" s="69">
        <v>219.4</v>
      </c>
    </row>
    <row r="109" spans="1:7" ht="15.75" thickBot="1" x14ac:dyDescent="0.3">
      <c r="A109" s="70">
        <v>85</v>
      </c>
      <c r="B109" s="70">
        <v>100.09584716400444</v>
      </c>
      <c r="C109" s="70">
        <v>-88.995847164004445</v>
      </c>
      <c r="D109" s="70">
        <v>-2.335224706157808</v>
      </c>
      <c r="F109" s="70">
        <v>99.411764705882362</v>
      </c>
      <c r="G109" s="70">
        <v>265.10000000000002</v>
      </c>
    </row>
  </sheetData>
  <sortState ref="G25:G109">
    <sortCondition ref="G25"/>
  </sortState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87"/>
  <sheetViews>
    <sheetView topLeftCell="A2" zoomScaleNormal="100" workbookViewId="0">
      <selection activeCell="E3" sqref="E3:E87"/>
    </sheetView>
  </sheetViews>
  <sheetFormatPr defaultColWidth="8.7109375" defaultRowHeight="15" x14ac:dyDescent="0.25"/>
  <cols>
    <col min="2" max="2" width="37.7109375" customWidth="1"/>
    <col min="3" max="3" width="30.42578125" customWidth="1"/>
    <col min="4" max="4" width="22" customWidth="1"/>
    <col min="5" max="6" width="33.7109375" customWidth="1"/>
  </cols>
  <sheetData>
    <row r="2" spans="2:6" ht="75" x14ac:dyDescent="0.25">
      <c r="B2" s="21" t="s">
        <v>99</v>
      </c>
      <c r="C2" s="15" t="s">
        <v>108</v>
      </c>
      <c r="D2" s="15" t="s">
        <v>2</v>
      </c>
      <c r="E2" s="33" t="s">
        <v>6</v>
      </c>
      <c r="F2" s="34"/>
    </row>
    <row r="3" spans="2:6" ht="15" customHeight="1" x14ac:dyDescent="0.25">
      <c r="B3" s="22" t="s">
        <v>102</v>
      </c>
      <c r="C3" s="23" t="s">
        <v>96</v>
      </c>
      <c r="D3" s="24">
        <v>166.8</v>
      </c>
      <c r="E3" s="24">
        <v>37.200000000000003</v>
      </c>
    </row>
    <row r="4" spans="2:6" x14ac:dyDescent="0.25">
      <c r="B4" s="25" t="s">
        <v>102</v>
      </c>
      <c r="C4" s="23" t="s">
        <v>86</v>
      </c>
      <c r="D4" s="24">
        <v>123.1</v>
      </c>
      <c r="E4" s="24">
        <v>71.2</v>
      </c>
    </row>
    <row r="5" spans="2:6" x14ac:dyDescent="0.25">
      <c r="B5" s="25" t="s">
        <v>102</v>
      </c>
      <c r="C5" s="23" t="s">
        <v>85</v>
      </c>
      <c r="D5" s="24">
        <v>97.9</v>
      </c>
      <c r="E5" s="24">
        <v>34.9</v>
      </c>
    </row>
    <row r="6" spans="2:6" x14ac:dyDescent="0.25">
      <c r="B6" s="25" t="s">
        <v>102</v>
      </c>
      <c r="C6" s="23" t="s">
        <v>78</v>
      </c>
      <c r="D6" s="24">
        <v>87.2</v>
      </c>
      <c r="E6" s="24">
        <v>4.4000000000000004</v>
      </c>
    </row>
    <row r="7" spans="2:6" x14ac:dyDescent="0.25">
      <c r="B7" s="25" t="s">
        <v>102</v>
      </c>
      <c r="C7" s="23" t="s">
        <v>66</v>
      </c>
      <c r="D7" s="24">
        <v>89.9</v>
      </c>
      <c r="E7" s="24">
        <v>5.6</v>
      </c>
    </row>
    <row r="8" spans="2:6" x14ac:dyDescent="0.25">
      <c r="B8" s="25" t="s">
        <v>102</v>
      </c>
      <c r="C8" s="23" t="s">
        <v>53</v>
      </c>
      <c r="D8" s="24">
        <v>104.4</v>
      </c>
      <c r="E8" s="24">
        <v>93.7</v>
      </c>
    </row>
    <row r="9" spans="2:6" x14ac:dyDescent="0.25">
      <c r="B9" s="25" t="s">
        <v>102</v>
      </c>
      <c r="C9" s="23" t="s">
        <v>39</v>
      </c>
      <c r="D9" s="24">
        <v>107.1</v>
      </c>
      <c r="E9" s="24">
        <v>4.0999999999999996</v>
      </c>
    </row>
    <row r="10" spans="2:6" x14ac:dyDescent="0.25">
      <c r="B10" s="25" t="s">
        <v>102</v>
      </c>
      <c r="C10" s="23" t="s">
        <v>29</v>
      </c>
      <c r="D10" s="24">
        <v>73.8</v>
      </c>
      <c r="E10" s="24">
        <v>33.200000000000003</v>
      </c>
    </row>
    <row r="11" spans="2:6" x14ac:dyDescent="0.25">
      <c r="B11" s="25" t="s">
        <v>102</v>
      </c>
      <c r="C11" s="23" t="s">
        <v>17</v>
      </c>
      <c r="D11" s="24">
        <v>110.7</v>
      </c>
      <c r="E11" s="24">
        <v>12.8</v>
      </c>
    </row>
    <row r="12" spans="2:6" x14ac:dyDescent="0.25">
      <c r="B12" s="26" t="s">
        <v>102</v>
      </c>
      <c r="C12" s="23" t="s">
        <v>9</v>
      </c>
      <c r="D12" s="24">
        <v>46.7</v>
      </c>
      <c r="E12" s="24">
        <v>1.3</v>
      </c>
    </row>
    <row r="13" spans="2:6" x14ac:dyDescent="0.25">
      <c r="B13" s="27" t="s">
        <v>103</v>
      </c>
      <c r="C13" s="28" t="s">
        <v>75</v>
      </c>
      <c r="D13" s="24">
        <v>166.4</v>
      </c>
      <c r="E13" s="24">
        <v>115.8</v>
      </c>
    </row>
    <row r="14" spans="2:6" x14ac:dyDescent="0.25">
      <c r="B14" s="25" t="s">
        <v>103</v>
      </c>
      <c r="C14" s="23" t="s">
        <v>61</v>
      </c>
      <c r="D14" s="24">
        <v>120.3</v>
      </c>
      <c r="E14" s="24">
        <v>314.60000000000002</v>
      </c>
    </row>
    <row r="15" spans="2:6" x14ac:dyDescent="0.25">
      <c r="B15" s="25" t="s">
        <v>103</v>
      </c>
      <c r="C15" s="23" t="s">
        <v>57</v>
      </c>
      <c r="D15" s="24">
        <v>54.2</v>
      </c>
      <c r="E15" s="24">
        <v>164.6</v>
      </c>
    </row>
    <row r="16" spans="2:6" x14ac:dyDescent="0.25">
      <c r="B16" s="25" t="s">
        <v>103</v>
      </c>
      <c r="C16" s="23" t="s">
        <v>55</v>
      </c>
      <c r="D16" s="24">
        <v>143.19999999999999</v>
      </c>
      <c r="E16" s="24">
        <v>279</v>
      </c>
    </row>
    <row r="17" spans="2:5" x14ac:dyDescent="0.25">
      <c r="B17" s="25" t="s">
        <v>103</v>
      </c>
      <c r="C17" s="23" t="s">
        <v>54</v>
      </c>
      <c r="D17" s="24">
        <v>74.2</v>
      </c>
      <c r="E17" s="24">
        <v>146.9</v>
      </c>
    </row>
    <row r="18" spans="2:5" x14ac:dyDescent="0.25">
      <c r="B18" s="25" t="s">
        <v>103</v>
      </c>
      <c r="C18" s="23" t="s">
        <v>49</v>
      </c>
      <c r="D18" s="24">
        <v>65.5</v>
      </c>
      <c r="E18" s="24">
        <v>325.10000000000002</v>
      </c>
    </row>
    <row r="19" spans="2:5" x14ac:dyDescent="0.25">
      <c r="B19" s="25" t="s">
        <v>103</v>
      </c>
      <c r="C19" s="23" t="s">
        <v>41</v>
      </c>
      <c r="D19" s="24">
        <v>141.69999999999999</v>
      </c>
      <c r="E19" s="24">
        <v>226.1</v>
      </c>
    </row>
    <row r="20" spans="2:5" x14ac:dyDescent="0.25">
      <c r="B20" s="25" t="s">
        <v>103</v>
      </c>
      <c r="C20" s="23" t="s">
        <v>40</v>
      </c>
      <c r="D20" s="24">
        <v>77.400000000000006</v>
      </c>
      <c r="E20" s="24">
        <v>305</v>
      </c>
    </row>
    <row r="21" spans="2:5" x14ac:dyDescent="0.25">
      <c r="B21" s="25" t="s">
        <v>103</v>
      </c>
      <c r="C21" s="23" t="s">
        <v>37</v>
      </c>
      <c r="D21" s="24">
        <v>97</v>
      </c>
      <c r="E21" s="24">
        <v>476</v>
      </c>
    </row>
    <row r="22" spans="2:5" x14ac:dyDescent="0.25">
      <c r="B22" s="25" t="s">
        <v>103</v>
      </c>
      <c r="C22" s="23" t="s">
        <v>32</v>
      </c>
      <c r="D22" s="24">
        <v>104.8</v>
      </c>
      <c r="E22" s="24">
        <v>352.1</v>
      </c>
    </row>
    <row r="23" spans="2:5" x14ac:dyDescent="0.25">
      <c r="B23" s="25" t="s">
        <v>103</v>
      </c>
      <c r="C23" s="23" t="s">
        <v>30</v>
      </c>
      <c r="D23" s="24">
        <v>114.5</v>
      </c>
      <c r="E23" s="24">
        <v>181.7</v>
      </c>
    </row>
    <row r="24" spans="2:5" x14ac:dyDescent="0.25">
      <c r="B24" s="25" t="s">
        <v>103</v>
      </c>
      <c r="C24" s="23" t="s">
        <v>19</v>
      </c>
      <c r="D24" s="24">
        <v>112.8</v>
      </c>
      <c r="E24" s="24">
        <v>269.60000000000002</v>
      </c>
    </row>
    <row r="25" spans="2:5" x14ac:dyDescent="0.25">
      <c r="B25" s="25" t="s">
        <v>103</v>
      </c>
      <c r="C25" s="23" t="s">
        <v>18</v>
      </c>
      <c r="D25" s="24">
        <v>88.1</v>
      </c>
      <c r="E25" s="24">
        <v>262.60000000000002</v>
      </c>
    </row>
    <row r="26" spans="2:5" x14ac:dyDescent="0.25">
      <c r="B26" s="26" t="s">
        <v>103</v>
      </c>
      <c r="C26" s="23" t="s">
        <v>10</v>
      </c>
      <c r="D26" s="24">
        <v>95.1</v>
      </c>
      <c r="E26" s="24">
        <v>471.7</v>
      </c>
    </row>
    <row r="27" spans="2:5" ht="14.25" customHeight="1" x14ac:dyDescent="0.25">
      <c r="B27" s="74" t="s">
        <v>106</v>
      </c>
      <c r="C27" s="28" t="s">
        <v>95</v>
      </c>
      <c r="D27" s="24">
        <v>67.099999999999994</v>
      </c>
      <c r="E27" s="24">
        <v>29.6</v>
      </c>
    </row>
    <row r="28" spans="2:5" x14ac:dyDescent="0.25">
      <c r="B28" s="25" t="s">
        <v>106</v>
      </c>
      <c r="C28" s="23" t="s">
        <v>89</v>
      </c>
      <c r="D28" s="24">
        <v>115.5</v>
      </c>
      <c r="E28" s="24">
        <v>110.7</v>
      </c>
    </row>
    <row r="29" spans="2:5" x14ac:dyDescent="0.25">
      <c r="B29" s="25" t="s">
        <v>106</v>
      </c>
      <c r="C29" s="23" t="s">
        <v>80</v>
      </c>
      <c r="D29" s="24">
        <v>95.5</v>
      </c>
      <c r="E29" s="24">
        <v>518.9</v>
      </c>
    </row>
    <row r="30" spans="2:5" x14ac:dyDescent="0.25">
      <c r="B30" s="25" t="s">
        <v>106</v>
      </c>
      <c r="C30" s="23" t="s">
        <v>69</v>
      </c>
      <c r="D30" s="24">
        <v>99.1</v>
      </c>
      <c r="E30" s="24">
        <v>221.7</v>
      </c>
    </row>
    <row r="31" spans="2:5" x14ac:dyDescent="0.25">
      <c r="B31" s="25" t="s">
        <v>106</v>
      </c>
      <c r="C31" s="23" t="s">
        <v>63</v>
      </c>
      <c r="D31" s="24">
        <v>81.599999999999994</v>
      </c>
      <c r="E31" s="24">
        <v>24.2</v>
      </c>
    </row>
    <row r="32" spans="2:5" x14ac:dyDescent="0.25">
      <c r="B32" s="25" t="s">
        <v>106</v>
      </c>
      <c r="C32" s="23" t="s">
        <v>62</v>
      </c>
      <c r="D32" s="24">
        <v>66.7</v>
      </c>
      <c r="E32" s="24">
        <v>1.9</v>
      </c>
    </row>
    <row r="33" spans="2:5" x14ac:dyDescent="0.25">
      <c r="B33" s="25" t="s">
        <v>106</v>
      </c>
      <c r="C33" s="23" t="s">
        <v>60</v>
      </c>
      <c r="D33" s="24">
        <v>109.1</v>
      </c>
      <c r="E33" s="24">
        <v>200.8</v>
      </c>
    </row>
    <row r="34" spans="2:5" x14ac:dyDescent="0.25">
      <c r="B34" s="25" t="s">
        <v>106</v>
      </c>
      <c r="C34" s="23" t="s">
        <v>52</v>
      </c>
      <c r="D34" s="24">
        <v>120.5</v>
      </c>
      <c r="E34" s="24">
        <v>312.60000000000002</v>
      </c>
    </row>
    <row r="35" spans="2:5" x14ac:dyDescent="0.25">
      <c r="B35" s="25" t="s">
        <v>106</v>
      </c>
      <c r="C35" s="23" t="s">
        <v>44</v>
      </c>
      <c r="D35" s="24">
        <v>92.7</v>
      </c>
      <c r="E35" s="24">
        <v>48.1</v>
      </c>
    </row>
    <row r="36" spans="2:5" x14ac:dyDescent="0.25">
      <c r="B36" s="25" t="s">
        <v>106</v>
      </c>
      <c r="C36" s="23" t="s">
        <v>43</v>
      </c>
      <c r="D36" s="24">
        <v>122.9</v>
      </c>
      <c r="E36" s="24">
        <v>16.5</v>
      </c>
    </row>
    <row r="37" spans="2:5" x14ac:dyDescent="0.25">
      <c r="B37" s="26" t="s">
        <v>106</v>
      </c>
      <c r="C37" s="23" t="s">
        <v>31</v>
      </c>
      <c r="D37" s="24">
        <v>89.6</v>
      </c>
      <c r="E37" s="24">
        <v>2542.4</v>
      </c>
    </row>
    <row r="38" spans="2:5" x14ac:dyDescent="0.25">
      <c r="B38" s="27" t="s">
        <v>105</v>
      </c>
      <c r="C38" s="28" t="s">
        <v>97</v>
      </c>
      <c r="D38" s="24">
        <v>105.4</v>
      </c>
      <c r="E38" s="24">
        <v>199.8</v>
      </c>
    </row>
    <row r="39" spans="2:5" x14ac:dyDescent="0.25">
      <c r="B39" s="25" t="s">
        <v>105</v>
      </c>
      <c r="C39" s="23" t="s">
        <v>82</v>
      </c>
      <c r="D39" s="24">
        <v>117</v>
      </c>
      <c r="E39" s="24">
        <v>33</v>
      </c>
    </row>
    <row r="40" spans="2:5" x14ac:dyDescent="0.25">
      <c r="B40" s="25" t="s">
        <v>105</v>
      </c>
      <c r="C40" s="23" t="s">
        <v>76</v>
      </c>
      <c r="D40" s="24">
        <v>93</v>
      </c>
      <c r="E40" s="24">
        <v>183.1</v>
      </c>
    </row>
    <row r="41" spans="2:5" x14ac:dyDescent="0.25">
      <c r="B41" s="25" t="s">
        <v>105</v>
      </c>
      <c r="C41" s="23" t="s">
        <v>72</v>
      </c>
      <c r="D41" s="24">
        <v>111.1</v>
      </c>
      <c r="E41" s="24">
        <v>11.7</v>
      </c>
    </row>
    <row r="42" spans="2:5" x14ac:dyDescent="0.25">
      <c r="B42" s="25" t="s">
        <v>105</v>
      </c>
      <c r="C42" s="23" t="s">
        <v>59</v>
      </c>
      <c r="D42" s="24">
        <v>88.9</v>
      </c>
      <c r="E42" s="24">
        <v>113</v>
      </c>
    </row>
    <row r="43" spans="2:5" x14ac:dyDescent="0.25">
      <c r="B43" s="25" t="s">
        <v>105</v>
      </c>
      <c r="C43" s="23" t="s">
        <v>58</v>
      </c>
      <c r="D43" s="24">
        <v>188.8</v>
      </c>
      <c r="E43" s="24">
        <v>100.2</v>
      </c>
    </row>
    <row r="44" spans="2:5" x14ac:dyDescent="0.25">
      <c r="B44" s="25" t="s">
        <v>105</v>
      </c>
      <c r="C44" s="23" t="s">
        <v>50</v>
      </c>
      <c r="D44" s="24">
        <v>148.5</v>
      </c>
      <c r="E44" s="24">
        <v>49.9</v>
      </c>
    </row>
    <row r="45" spans="2:5" x14ac:dyDescent="0.25">
      <c r="B45" s="25" t="s">
        <v>105</v>
      </c>
      <c r="C45" s="23" t="s">
        <v>48</v>
      </c>
      <c r="D45" s="24">
        <v>116.8</v>
      </c>
      <c r="E45" s="24">
        <v>27.3</v>
      </c>
    </row>
    <row r="46" spans="2:5" x14ac:dyDescent="0.25">
      <c r="B46" s="25" t="s">
        <v>105</v>
      </c>
      <c r="C46" s="23" t="s">
        <v>36</v>
      </c>
      <c r="D46" s="24">
        <v>265.10000000000002</v>
      </c>
      <c r="E46" s="24">
        <v>22.2</v>
      </c>
    </row>
    <row r="47" spans="2:5" x14ac:dyDescent="0.25">
      <c r="B47" s="25" t="s">
        <v>105</v>
      </c>
      <c r="C47" s="23" t="s">
        <v>35</v>
      </c>
      <c r="D47" s="24">
        <v>82.9</v>
      </c>
      <c r="E47" s="24">
        <v>94.6</v>
      </c>
    </row>
    <row r="48" spans="2:5" x14ac:dyDescent="0.25">
      <c r="B48" s="26" t="s">
        <v>105</v>
      </c>
      <c r="C48" s="23" t="s">
        <v>22</v>
      </c>
      <c r="D48" s="24">
        <v>49.4</v>
      </c>
      <c r="E48" s="24">
        <v>25.6</v>
      </c>
    </row>
    <row r="49" spans="2:5" x14ac:dyDescent="0.25">
      <c r="B49" s="27" t="s">
        <v>101</v>
      </c>
      <c r="C49" s="28" t="s">
        <v>71</v>
      </c>
      <c r="D49" s="24">
        <v>85.8</v>
      </c>
      <c r="E49" s="24">
        <v>136.80000000000001</v>
      </c>
    </row>
    <row r="50" spans="2:5" x14ac:dyDescent="0.25">
      <c r="B50" s="25" t="s">
        <v>101</v>
      </c>
      <c r="C50" s="23" t="s">
        <v>28</v>
      </c>
      <c r="D50" s="24">
        <v>52.5</v>
      </c>
      <c r="E50" s="24">
        <v>129.80000000000001</v>
      </c>
    </row>
    <row r="51" spans="2:5" x14ac:dyDescent="0.25">
      <c r="B51" s="25" t="s">
        <v>101</v>
      </c>
      <c r="C51" s="23" t="s">
        <v>20</v>
      </c>
      <c r="D51" s="24">
        <v>176.8</v>
      </c>
      <c r="E51" s="24">
        <v>93.2</v>
      </c>
    </row>
    <row r="52" spans="2:5" x14ac:dyDescent="0.25">
      <c r="B52" s="25" t="s">
        <v>101</v>
      </c>
      <c r="C52" s="23" t="s">
        <v>16</v>
      </c>
      <c r="D52" s="24">
        <v>53.9</v>
      </c>
      <c r="E52" s="24">
        <v>11.7</v>
      </c>
    </row>
    <row r="53" spans="2:5" x14ac:dyDescent="0.25">
      <c r="B53" s="25" t="s">
        <v>101</v>
      </c>
      <c r="C53" s="23" t="s">
        <v>12</v>
      </c>
      <c r="D53" s="24">
        <v>96.7</v>
      </c>
      <c r="E53" s="24">
        <v>248.6</v>
      </c>
    </row>
    <row r="54" spans="2:5" x14ac:dyDescent="0.25">
      <c r="B54" s="26" t="s">
        <v>101</v>
      </c>
      <c r="C54" s="23" t="s">
        <v>8</v>
      </c>
      <c r="D54" s="24">
        <v>42.5</v>
      </c>
      <c r="E54" s="24">
        <v>3.7</v>
      </c>
    </row>
    <row r="55" spans="2:5" x14ac:dyDescent="0.25">
      <c r="B55" s="74" t="s">
        <v>100</v>
      </c>
      <c r="C55" s="28" t="s">
        <v>93</v>
      </c>
      <c r="D55" s="24">
        <v>82.2</v>
      </c>
      <c r="E55" s="24">
        <v>732</v>
      </c>
    </row>
    <row r="56" spans="2:5" x14ac:dyDescent="0.25">
      <c r="B56" s="25" t="s">
        <v>100</v>
      </c>
      <c r="C56" s="23" t="s">
        <v>92</v>
      </c>
      <c r="D56" s="24">
        <v>65.7</v>
      </c>
      <c r="E56" s="24">
        <v>331.2</v>
      </c>
    </row>
    <row r="57" spans="2:5" x14ac:dyDescent="0.25">
      <c r="B57" s="25" t="s">
        <v>100</v>
      </c>
      <c r="C57" s="23" t="s">
        <v>91</v>
      </c>
      <c r="D57" s="24">
        <v>160.4</v>
      </c>
      <c r="E57" s="24">
        <v>394.2</v>
      </c>
    </row>
    <row r="58" spans="2:5" x14ac:dyDescent="0.25">
      <c r="B58" s="25" t="s">
        <v>100</v>
      </c>
      <c r="C58" s="23" t="s">
        <v>88</v>
      </c>
      <c r="D58" s="24">
        <v>111.7</v>
      </c>
      <c r="E58" s="24">
        <v>429.3</v>
      </c>
    </row>
    <row r="59" spans="2:5" x14ac:dyDescent="0.25">
      <c r="B59" s="25" t="s">
        <v>100</v>
      </c>
      <c r="C59" s="23" t="s">
        <v>83</v>
      </c>
      <c r="D59" s="24">
        <v>113.7</v>
      </c>
      <c r="E59" s="24">
        <v>338.4</v>
      </c>
    </row>
    <row r="60" spans="2:5" x14ac:dyDescent="0.25">
      <c r="B60" s="25" t="s">
        <v>100</v>
      </c>
      <c r="C60" s="23" t="s">
        <v>79</v>
      </c>
      <c r="D60" s="24">
        <v>127.1</v>
      </c>
      <c r="E60" s="24">
        <v>365.4</v>
      </c>
    </row>
    <row r="61" spans="2:5" x14ac:dyDescent="0.25">
      <c r="B61" s="25" t="s">
        <v>100</v>
      </c>
      <c r="C61" s="23" t="s">
        <v>74</v>
      </c>
      <c r="D61" s="24">
        <v>171.2</v>
      </c>
      <c r="E61" s="24">
        <v>139.30000000000001</v>
      </c>
    </row>
    <row r="62" spans="2:5" x14ac:dyDescent="0.25">
      <c r="B62" s="25" t="s">
        <v>100</v>
      </c>
      <c r="C62" s="23" t="s">
        <v>70</v>
      </c>
      <c r="D62" s="24">
        <v>123.1</v>
      </c>
      <c r="E62" s="24">
        <v>384.3</v>
      </c>
    </row>
    <row r="63" spans="2:5" x14ac:dyDescent="0.25">
      <c r="B63" s="25" t="s">
        <v>100</v>
      </c>
      <c r="C63" s="23" t="s">
        <v>68</v>
      </c>
      <c r="D63" s="24">
        <v>83.8</v>
      </c>
      <c r="E63" s="24">
        <v>567.4</v>
      </c>
    </row>
    <row r="64" spans="2:5" x14ac:dyDescent="0.25">
      <c r="B64" s="25" t="s">
        <v>100</v>
      </c>
      <c r="C64" s="23" t="s">
        <v>65</v>
      </c>
      <c r="D64" s="24">
        <v>82.5</v>
      </c>
      <c r="E64" s="24">
        <v>2521.6</v>
      </c>
    </row>
    <row r="65" spans="2:5" x14ac:dyDescent="0.25">
      <c r="B65" s="25" t="s">
        <v>100</v>
      </c>
      <c r="C65" s="23" t="s">
        <v>64</v>
      </c>
      <c r="D65" s="24">
        <v>49.2</v>
      </c>
      <c r="E65" s="24">
        <v>848.8</v>
      </c>
    </row>
    <row r="66" spans="2:5" x14ac:dyDescent="0.25">
      <c r="B66" s="25" t="s">
        <v>100</v>
      </c>
      <c r="C66" s="23" t="s">
        <v>56</v>
      </c>
      <c r="D66" s="24">
        <v>85.3</v>
      </c>
      <c r="E66" s="24">
        <v>409.4</v>
      </c>
    </row>
    <row r="67" spans="2:5" x14ac:dyDescent="0.25">
      <c r="B67" s="25" t="s">
        <v>100</v>
      </c>
      <c r="C67" s="23" t="s">
        <v>33</v>
      </c>
      <c r="D67" s="24">
        <v>109.6</v>
      </c>
      <c r="E67" s="24">
        <v>284.8</v>
      </c>
    </row>
    <row r="68" spans="2:5" x14ac:dyDescent="0.25">
      <c r="B68" s="25" t="s">
        <v>100</v>
      </c>
      <c r="C68" s="23" t="s">
        <v>26</v>
      </c>
      <c r="D68" s="24">
        <v>116.4</v>
      </c>
      <c r="E68" s="24">
        <v>336.6</v>
      </c>
    </row>
    <row r="69" spans="2:5" x14ac:dyDescent="0.25">
      <c r="B69" s="25" t="s">
        <v>100</v>
      </c>
      <c r="C69" s="23" t="s">
        <v>24</v>
      </c>
      <c r="D69" s="24">
        <v>104.1</v>
      </c>
      <c r="E69" s="24">
        <v>299.2</v>
      </c>
    </row>
    <row r="70" spans="2:5" x14ac:dyDescent="0.25">
      <c r="B70" s="25" t="s">
        <v>100</v>
      </c>
      <c r="C70" s="23" t="s">
        <v>23</v>
      </c>
      <c r="D70" s="24">
        <v>108.4</v>
      </c>
      <c r="E70" s="24">
        <v>257.5</v>
      </c>
    </row>
    <row r="71" spans="2:5" x14ac:dyDescent="0.25">
      <c r="B71" s="25" t="s">
        <v>100</v>
      </c>
      <c r="C71" s="23" t="s">
        <v>21</v>
      </c>
      <c r="D71" s="24">
        <v>108.6</v>
      </c>
      <c r="E71" s="24">
        <v>413.1</v>
      </c>
    </row>
    <row r="72" spans="2:5" x14ac:dyDescent="0.25">
      <c r="B72" s="26" t="s">
        <v>100</v>
      </c>
      <c r="C72" s="23" t="s">
        <v>7</v>
      </c>
      <c r="D72" s="24">
        <v>133.30000000000001</v>
      </c>
      <c r="E72" s="24">
        <v>287.10000000000002</v>
      </c>
    </row>
    <row r="73" spans="2:5" ht="16.5" customHeight="1" x14ac:dyDescent="0.25">
      <c r="B73" s="27" t="s">
        <v>104</v>
      </c>
      <c r="C73" s="28" t="s">
        <v>94</v>
      </c>
      <c r="D73" s="24">
        <v>122.4</v>
      </c>
      <c r="E73" s="24">
        <v>84.8</v>
      </c>
    </row>
    <row r="74" spans="2:5" x14ac:dyDescent="0.25">
      <c r="B74" s="25" t="s">
        <v>104</v>
      </c>
      <c r="C74" s="23" t="s">
        <v>90</v>
      </c>
      <c r="D74" s="24">
        <v>86.3</v>
      </c>
      <c r="E74" s="24">
        <v>153.4</v>
      </c>
    </row>
    <row r="75" spans="2:5" x14ac:dyDescent="0.25">
      <c r="B75" s="25" t="s">
        <v>104</v>
      </c>
      <c r="C75" s="23" t="s">
        <v>81</v>
      </c>
      <c r="D75" s="24">
        <v>95.1</v>
      </c>
      <c r="E75" s="24">
        <v>665.7</v>
      </c>
    </row>
    <row r="76" spans="2:5" x14ac:dyDescent="0.25">
      <c r="B76" s="25" t="s">
        <v>104</v>
      </c>
      <c r="C76" s="23" t="s">
        <v>77</v>
      </c>
      <c r="D76" s="24">
        <v>122.8</v>
      </c>
      <c r="E76" s="24">
        <v>363.3</v>
      </c>
    </row>
    <row r="77" spans="2:5" x14ac:dyDescent="0.25">
      <c r="B77" s="25" t="s">
        <v>104</v>
      </c>
      <c r="C77" s="23" t="s">
        <v>73</v>
      </c>
      <c r="D77" s="24">
        <v>124.1</v>
      </c>
      <c r="E77" s="24">
        <v>481</v>
      </c>
    </row>
    <row r="78" spans="2:5" x14ac:dyDescent="0.25">
      <c r="B78" s="25" t="s">
        <v>104</v>
      </c>
      <c r="C78" s="23" t="s">
        <v>51</v>
      </c>
      <c r="D78" s="24">
        <v>77</v>
      </c>
      <c r="E78" s="24">
        <v>578.79999999999995</v>
      </c>
    </row>
    <row r="79" spans="2:5" x14ac:dyDescent="0.25">
      <c r="B79" s="25" t="s">
        <v>104</v>
      </c>
      <c r="C79" s="23" t="s">
        <v>47</v>
      </c>
      <c r="D79" s="24">
        <v>89.3</v>
      </c>
      <c r="E79" s="24">
        <v>477.5</v>
      </c>
    </row>
    <row r="80" spans="2:5" x14ac:dyDescent="0.25">
      <c r="B80" s="25" t="s">
        <v>104</v>
      </c>
      <c r="C80" s="23" t="s">
        <v>46</v>
      </c>
      <c r="D80" s="24">
        <v>65.599999999999994</v>
      </c>
      <c r="E80" s="24">
        <v>1024.5</v>
      </c>
    </row>
    <row r="81" spans="2:5" x14ac:dyDescent="0.25">
      <c r="B81" s="25" t="s">
        <v>104</v>
      </c>
      <c r="C81" s="23" t="s">
        <v>45</v>
      </c>
      <c r="D81" s="24">
        <v>219.4</v>
      </c>
      <c r="E81" s="24">
        <v>51.3</v>
      </c>
    </row>
    <row r="82" spans="2:5" x14ac:dyDescent="0.25">
      <c r="B82" s="25" t="s">
        <v>104</v>
      </c>
      <c r="C82" s="23" t="s">
        <v>42</v>
      </c>
      <c r="D82" s="24">
        <v>98.4</v>
      </c>
      <c r="E82" s="24">
        <v>511.7</v>
      </c>
    </row>
    <row r="83" spans="2:5" x14ac:dyDescent="0.25">
      <c r="B83" s="25" t="s">
        <v>104</v>
      </c>
      <c r="C83" s="23" t="s">
        <v>38</v>
      </c>
      <c r="D83" s="24">
        <v>131.5</v>
      </c>
      <c r="E83" s="24">
        <v>716.9</v>
      </c>
    </row>
    <row r="84" spans="2:5" x14ac:dyDescent="0.25">
      <c r="B84" s="25" t="s">
        <v>104</v>
      </c>
      <c r="C84" s="23" t="s">
        <v>34</v>
      </c>
      <c r="D84" s="24">
        <v>76.599999999999994</v>
      </c>
      <c r="E84" s="24">
        <v>272.8</v>
      </c>
    </row>
    <row r="85" spans="2:5" x14ac:dyDescent="0.25">
      <c r="B85" s="25" t="s">
        <v>104</v>
      </c>
      <c r="C85" s="23" t="s">
        <v>27</v>
      </c>
      <c r="D85" s="24">
        <v>125.8</v>
      </c>
      <c r="E85" s="24">
        <v>1213.5</v>
      </c>
    </row>
    <row r="86" spans="2:5" x14ac:dyDescent="0.25">
      <c r="B86" s="25" t="s">
        <v>104</v>
      </c>
      <c r="C86" s="23" t="s">
        <v>25</v>
      </c>
      <c r="D86" s="24">
        <v>118.1</v>
      </c>
      <c r="E86" s="24">
        <v>280.7</v>
      </c>
    </row>
    <row r="87" spans="2:5" x14ac:dyDescent="0.25">
      <c r="B87" s="26" t="s">
        <v>104</v>
      </c>
      <c r="C87" s="23" t="s">
        <v>11</v>
      </c>
      <c r="D87" s="24">
        <v>11.1</v>
      </c>
      <c r="E87" s="24">
        <v>651.70000000000005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7"/>
  <sheetViews>
    <sheetView zoomScaleNormal="100" workbookViewId="0">
      <selection activeCell="G9" sqref="G9"/>
    </sheetView>
  </sheetViews>
  <sheetFormatPr defaultRowHeight="15" x14ac:dyDescent="0.25"/>
  <cols>
    <col min="2" max="2" width="25.85546875" customWidth="1"/>
    <col min="3" max="3" width="38.42578125" customWidth="1"/>
    <col min="4" max="4" width="33.85546875" customWidth="1"/>
    <col min="5" max="5" width="40.42578125" customWidth="1"/>
    <col min="6" max="6" width="19.140625" customWidth="1"/>
    <col min="7" max="7" width="32.7109375" customWidth="1"/>
  </cols>
  <sheetData>
    <row r="2" spans="2:5" ht="92.25" customHeight="1" x14ac:dyDescent="0.25">
      <c r="B2" s="15" t="s">
        <v>1</v>
      </c>
      <c r="C2" s="15" t="s">
        <v>2</v>
      </c>
      <c r="D2" s="15" t="s">
        <v>6</v>
      </c>
      <c r="E2" s="15" t="s">
        <v>99</v>
      </c>
    </row>
    <row r="3" spans="2:5" x14ac:dyDescent="0.25">
      <c r="B3" s="24" t="s">
        <v>7</v>
      </c>
      <c r="C3" s="24">
        <v>133.30000000000001</v>
      </c>
      <c r="D3" s="24">
        <v>287.10000000000002</v>
      </c>
      <c r="E3" s="19" t="s">
        <v>100</v>
      </c>
    </row>
    <row r="4" spans="2:5" x14ac:dyDescent="0.25">
      <c r="B4" s="24" t="s">
        <v>8</v>
      </c>
      <c r="C4" s="24">
        <v>42.5</v>
      </c>
      <c r="D4" s="24">
        <v>3.7</v>
      </c>
      <c r="E4" s="19" t="s">
        <v>101</v>
      </c>
    </row>
    <row r="5" spans="2:5" x14ac:dyDescent="0.25">
      <c r="B5" s="24" t="s">
        <v>9</v>
      </c>
      <c r="C5" s="24">
        <v>46.7</v>
      </c>
      <c r="D5" s="24">
        <v>1.3</v>
      </c>
      <c r="E5" s="19" t="s">
        <v>102</v>
      </c>
    </row>
    <row r="6" spans="2:5" x14ac:dyDescent="0.25">
      <c r="B6" s="24" t="s">
        <v>10</v>
      </c>
      <c r="C6" s="24">
        <v>95.1</v>
      </c>
      <c r="D6" s="24">
        <v>471.7</v>
      </c>
      <c r="E6" s="19" t="s">
        <v>103</v>
      </c>
    </row>
    <row r="7" spans="2:5" x14ac:dyDescent="0.25">
      <c r="B7" s="24" t="s">
        <v>11</v>
      </c>
      <c r="C7" s="24">
        <v>11.1</v>
      </c>
      <c r="D7" s="24">
        <v>651.70000000000005</v>
      </c>
      <c r="E7" s="19" t="s">
        <v>104</v>
      </c>
    </row>
    <row r="8" spans="2:5" x14ac:dyDescent="0.25">
      <c r="B8" s="24" t="s">
        <v>12</v>
      </c>
      <c r="C8" s="24">
        <v>96.7</v>
      </c>
      <c r="D8" s="24">
        <v>248.6</v>
      </c>
      <c r="E8" s="19" t="s">
        <v>101</v>
      </c>
    </row>
    <row r="9" spans="2:5" x14ac:dyDescent="0.25">
      <c r="B9" s="24" t="s">
        <v>16</v>
      </c>
      <c r="C9" s="24">
        <v>53.9</v>
      </c>
      <c r="D9" s="24">
        <v>11.7</v>
      </c>
      <c r="E9" s="19" t="s">
        <v>101</v>
      </c>
    </row>
    <row r="10" spans="2:5" x14ac:dyDescent="0.25">
      <c r="B10" s="24" t="s">
        <v>17</v>
      </c>
      <c r="C10" s="24">
        <v>110.7</v>
      </c>
      <c r="D10" s="24">
        <v>12.8</v>
      </c>
      <c r="E10" s="19" t="s">
        <v>102</v>
      </c>
    </row>
    <row r="11" spans="2:5" x14ac:dyDescent="0.25">
      <c r="B11" s="24" t="s">
        <v>18</v>
      </c>
      <c r="C11" s="24">
        <v>88.1</v>
      </c>
      <c r="D11" s="24">
        <v>262.60000000000002</v>
      </c>
      <c r="E11" s="19" t="s">
        <v>103</v>
      </c>
    </row>
    <row r="12" spans="2:5" x14ac:dyDescent="0.25">
      <c r="B12" s="24" t="s">
        <v>19</v>
      </c>
      <c r="C12" s="24">
        <v>112.8</v>
      </c>
      <c r="D12" s="24">
        <v>269.60000000000002</v>
      </c>
      <c r="E12" s="19" t="s">
        <v>103</v>
      </c>
    </row>
    <row r="13" spans="2:5" x14ac:dyDescent="0.25">
      <c r="B13" s="24" t="s">
        <v>20</v>
      </c>
      <c r="C13" s="24">
        <v>176.8</v>
      </c>
      <c r="D13" s="24">
        <v>93.2</v>
      </c>
      <c r="E13" s="19" t="s">
        <v>101</v>
      </c>
    </row>
    <row r="14" spans="2:5" x14ac:dyDescent="0.25">
      <c r="B14" s="24" t="s">
        <v>21</v>
      </c>
      <c r="C14" s="24">
        <v>108.6</v>
      </c>
      <c r="D14" s="24">
        <v>413.1</v>
      </c>
      <c r="E14" s="19" t="s">
        <v>100</v>
      </c>
    </row>
    <row r="15" spans="2:5" x14ac:dyDescent="0.25">
      <c r="B15" s="24" t="s">
        <v>22</v>
      </c>
      <c r="C15" s="24">
        <v>49.4</v>
      </c>
      <c r="D15" s="24">
        <v>25.6</v>
      </c>
      <c r="E15" s="19" t="s">
        <v>105</v>
      </c>
    </row>
    <row r="16" spans="2:5" x14ac:dyDescent="0.25">
      <c r="B16" s="24" t="s">
        <v>23</v>
      </c>
      <c r="C16" s="24">
        <v>108.4</v>
      </c>
      <c r="D16" s="24">
        <v>257.5</v>
      </c>
      <c r="E16" s="19" t="s">
        <v>100</v>
      </c>
    </row>
    <row r="17" spans="2:5" x14ac:dyDescent="0.25">
      <c r="B17" s="24" t="s">
        <v>24</v>
      </c>
      <c r="C17" s="24">
        <v>104.1</v>
      </c>
      <c r="D17" s="24">
        <v>299.2</v>
      </c>
      <c r="E17" s="19" t="s">
        <v>100</v>
      </c>
    </row>
    <row r="18" spans="2:5" x14ac:dyDescent="0.25">
      <c r="B18" s="24" t="s">
        <v>25</v>
      </c>
      <c r="C18" s="24">
        <v>118.1</v>
      </c>
      <c r="D18" s="24">
        <v>280.7</v>
      </c>
      <c r="E18" s="19" t="s">
        <v>104</v>
      </c>
    </row>
    <row r="19" spans="2:5" x14ac:dyDescent="0.25">
      <c r="B19" s="24" t="s">
        <v>26</v>
      </c>
      <c r="C19" s="24">
        <v>116.4</v>
      </c>
      <c r="D19" s="24">
        <v>336.6</v>
      </c>
      <c r="E19" s="19" t="s">
        <v>100</v>
      </c>
    </row>
    <row r="20" spans="2:5" x14ac:dyDescent="0.25">
      <c r="B20" s="24" t="s">
        <v>27</v>
      </c>
      <c r="C20" s="24">
        <v>125.8</v>
      </c>
      <c r="D20" s="24">
        <v>1213.5</v>
      </c>
      <c r="E20" s="19" t="s">
        <v>104</v>
      </c>
    </row>
    <row r="21" spans="2:5" x14ac:dyDescent="0.25">
      <c r="B21" s="24" t="s">
        <v>28</v>
      </c>
      <c r="C21" s="24">
        <v>52.5</v>
      </c>
      <c r="D21" s="24">
        <v>129.80000000000001</v>
      </c>
      <c r="E21" s="19" t="s">
        <v>101</v>
      </c>
    </row>
    <row r="22" spans="2:5" x14ac:dyDescent="0.25">
      <c r="B22" s="24" t="s">
        <v>29</v>
      </c>
      <c r="C22" s="24">
        <v>73.8</v>
      </c>
      <c r="D22" s="24">
        <v>33.200000000000003</v>
      </c>
      <c r="E22" s="19" t="s">
        <v>102</v>
      </c>
    </row>
    <row r="23" spans="2:5" x14ac:dyDescent="0.25">
      <c r="B23" s="24" t="s">
        <v>30</v>
      </c>
      <c r="C23" s="24">
        <v>114.5</v>
      </c>
      <c r="D23" s="24">
        <v>181.7</v>
      </c>
      <c r="E23" s="19" t="s">
        <v>103</v>
      </c>
    </row>
    <row r="24" spans="2:5" x14ac:dyDescent="0.25">
      <c r="B24" s="24" t="s">
        <v>31</v>
      </c>
      <c r="C24" s="24">
        <v>89.6</v>
      </c>
      <c r="D24" s="24">
        <v>2542.4</v>
      </c>
      <c r="E24" s="19" t="s">
        <v>106</v>
      </c>
    </row>
    <row r="25" spans="2:5" x14ac:dyDescent="0.25">
      <c r="B25" s="24" t="s">
        <v>32</v>
      </c>
      <c r="C25" s="24">
        <v>104.8</v>
      </c>
      <c r="D25" s="24">
        <v>352.1</v>
      </c>
      <c r="E25" s="19" t="s">
        <v>103</v>
      </c>
    </row>
    <row r="26" spans="2:5" x14ac:dyDescent="0.25">
      <c r="B26" s="24" t="s">
        <v>33</v>
      </c>
      <c r="C26" s="24">
        <v>109.6</v>
      </c>
      <c r="D26" s="24">
        <v>284.8</v>
      </c>
      <c r="E26" s="19" t="s">
        <v>100</v>
      </c>
    </row>
    <row r="27" spans="2:5" x14ac:dyDescent="0.25">
      <c r="B27" s="24" t="s">
        <v>34</v>
      </c>
      <c r="C27" s="24">
        <v>76.599999999999994</v>
      </c>
      <c r="D27" s="24">
        <v>272.8</v>
      </c>
      <c r="E27" s="19" t="s">
        <v>104</v>
      </c>
    </row>
    <row r="28" spans="2:5" x14ac:dyDescent="0.25">
      <c r="B28" s="24" t="s">
        <v>35</v>
      </c>
      <c r="C28" s="24">
        <v>82.9</v>
      </c>
      <c r="D28" s="24">
        <v>94.6</v>
      </c>
      <c r="E28" s="19" t="s">
        <v>105</v>
      </c>
    </row>
    <row r="29" spans="2:5" x14ac:dyDescent="0.25">
      <c r="B29" s="24" t="s">
        <v>36</v>
      </c>
      <c r="C29" s="24">
        <v>265.10000000000002</v>
      </c>
      <c r="D29" s="24">
        <v>22.2</v>
      </c>
      <c r="E29" s="19" t="s">
        <v>105</v>
      </c>
    </row>
    <row r="30" spans="2:5" x14ac:dyDescent="0.25">
      <c r="B30" s="24" t="s">
        <v>37</v>
      </c>
      <c r="C30" s="24">
        <v>97</v>
      </c>
      <c r="D30" s="24">
        <v>476</v>
      </c>
      <c r="E30" s="19" t="s">
        <v>103</v>
      </c>
    </row>
    <row r="31" spans="2:5" x14ac:dyDescent="0.25">
      <c r="B31" s="24" t="s">
        <v>38</v>
      </c>
      <c r="C31" s="24">
        <v>131.5</v>
      </c>
      <c r="D31" s="24">
        <v>716.9</v>
      </c>
      <c r="E31" s="19" t="s">
        <v>104</v>
      </c>
    </row>
    <row r="32" spans="2:5" x14ac:dyDescent="0.25">
      <c r="B32" s="24" t="s">
        <v>39</v>
      </c>
      <c r="C32" s="24">
        <v>107.1</v>
      </c>
      <c r="D32" s="24">
        <v>4.0999999999999996</v>
      </c>
      <c r="E32" s="19" t="s">
        <v>102</v>
      </c>
    </row>
    <row r="33" spans="2:5" x14ac:dyDescent="0.25">
      <c r="B33" s="24" t="s">
        <v>40</v>
      </c>
      <c r="C33" s="24">
        <v>77.400000000000006</v>
      </c>
      <c r="D33" s="24">
        <v>305</v>
      </c>
      <c r="E33" s="19" t="s">
        <v>103</v>
      </c>
    </row>
    <row r="34" spans="2:5" x14ac:dyDescent="0.25">
      <c r="B34" s="24" t="s">
        <v>41</v>
      </c>
      <c r="C34" s="24">
        <v>141.69999999999999</v>
      </c>
      <c r="D34" s="24">
        <v>226.1</v>
      </c>
      <c r="E34" s="19" t="s">
        <v>103</v>
      </c>
    </row>
    <row r="35" spans="2:5" x14ac:dyDescent="0.25">
      <c r="B35" s="24" t="s">
        <v>42</v>
      </c>
      <c r="C35" s="24">
        <v>98.4</v>
      </c>
      <c r="D35" s="24">
        <v>511.7</v>
      </c>
      <c r="E35" s="19" t="s">
        <v>104</v>
      </c>
    </row>
    <row r="36" spans="2:5" x14ac:dyDescent="0.25">
      <c r="B36" s="24" t="s">
        <v>43</v>
      </c>
      <c r="C36" s="24">
        <v>122.9</v>
      </c>
      <c r="D36" s="24">
        <v>16.5</v>
      </c>
      <c r="E36" s="19" t="s">
        <v>106</v>
      </c>
    </row>
    <row r="37" spans="2:5" x14ac:dyDescent="0.25">
      <c r="B37" s="24" t="s">
        <v>44</v>
      </c>
      <c r="C37" s="24">
        <v>92.7</v>
      </c>
      <c r="D37" s="24">
        <v>48.1</v>
      </c>
      <c r="E37" s="19" t="s">
        <v>106</v>
      </c>
    </row>
    <row r="38" spans="2:5" x14ac:dyDescent="0.25">
      <c r="B38" s="24" t="s">
        <v>45</v>
      </c>
      <c r="C38" s="24">
        <v>219.4</v>
      </c>
      <c r="D38" s="24">
        <v>51.3</v>
      </c>
      <c r="E38" s="19" t="s">
        <v>104</v>
      </c>
    </row>
    <row r="39" spans="2:5" x14ac:dyDescent="0.25">
      <c r="B39" s="24" t="s">
        <v>46</v>
      </c>
      <c r="C39" s="24">
        <v>65.599999999999994</v>
      </c>
      <c r="D39" s="24">
        <v>1024.5</v>
      </c>
      <c r="E39" s="19" t="s">
        <v>104</v>
      </c>
    </row>
    <row r="40" spans="2:5" x14ac:dyDescent="0.25">
      <c r="B40" s="24" t="s">
        <v>47</v>
      </c>
      <c r="C40" s="24">
        <v>89.3</v>
      </c>
      <c r="D40" s="24">
        <v>477.5</v>
      </c>
      <c r="E40" s="19" t="s">
        <v>104</v>
      </c>
    </row>
    <row r="41" spans="2:5" x14ac:dyDescent="0.25">
      <c r="B41" s="24" t="s">
        <v>48</v>
      </c>
      <c r="C41" s="24">
        <v>116.8</v>
      </c>
      <c r="D41" s="24">
        <v>27.3</v>
      </c>
      <c r="E41" s="19" t="s">
        <v>105</v>
      </c>
    </row>
    <row r="42" spans="2:5" x14ac:dyDescent="0.25">
      <c r="B42" s="24" t="s">
        <v>49</v>
      </c>
      <c r="C42" s="24">
        <v>65.5</v>
      </c>
      <c r="D42" s="24">
        <v>325.10000000000002</v>
      </c>
      <c r="E42" s="19" t="s">
        <v>103</v>
      </c>
    </row>
    <row r="43" spans="2:5" x14ac:dyDescent="0.25">
      <c r="B43" s="24" t="s">
        <v>50</v>
      </c>
      <c r="C43" s="24">
        <v>148.5</v>
      </c>
      <c r="D43" s="24">
        <v>49.9</v>
      </c>
      <c r="E43" s="19" t="s">
        <v>105</v>
      </c>
    </row>
    <row r="44" spans="2:5" x14ac:dyDescent="0.25">
      <c r="B44" s="24" t="s">
        <v>51</v>
      </c>
      <c r="C44" s="24">
        <v>77</v>
      </c>
      <c r="D44" s="24">
        <v>578.79999999999995</v>
      </c>
      <c r="E44" s="19" t="s">
        <v>104</v>
      </c>
    </row>
    <row r="45" spans="2:5" x14ac:dyDescent="0.25">
      <c r="B45" s="24" t="s">
        <v>52</v>
      </c>
      <c r="C45" s="24">
        <v>120.5</v>
      </c>
      <c r="D45" s="24">
        <v>312.60000000000002</v>
      </c>
      <c r="E45" s="19" t="s">
        <v>106</v>
      </c>
    </row>
    <row r="46" spans="2:5" x14ac:dyDescent="0.25">
      <c r="B46" s="24" t="s">
        <v>53</v>
      </c>
      <c r="C46" s="24">
        <v>104.4</v>
      </c>
      <c r="D46" s="24">
        <v>93.7</v>
      </c>
      <c r="E46" s="19" t="s">
        <v>102</v>
      </c>
    </row>
    <row r="47" spans="2:5" x14ac:dyDescent="0.25">
      <c r="B47" s="24" t="s">
        <v>54</v>
      </c>
      <c r="C47" s="24">
        <v>74.2</v>
      </c>
      <c r="D47" s="24">
        <v>146.9</v>
      </c>
      <c r="E47" s="19" t="s">
        <v>103</v>
      </c>
    </row>
    <row r="48" spans="2:5" x14ac:dyDescent="0.25">
      <c r="B48" s="24" t="s">
        <v>55</v>
      </c>
      <c r="C48" s="24">
        <v>143.19999999999999</v>
      </c>
      <c r="D48" s="24">
        <v>279</v>
      </c>
      <c r="E48" s="19" t="s">
        <v>103</v>
      </c>
    </row>
    <row r="49" spans="2:5" x14ac:dyDescent="0.25">
      <c r="B49" s="24" t="s">
        <v>56</v>
      </c>
      <c r="C49" s="24">
        <v>85.3</v>
      </c>
      <c r="D49" s="24">
        <v>409.4</v>
      </c>
      <c r="E49" s="19" t="s">
        <v>100</v>
      </c>
    </row>
    <row r="50" spans="2:5" x14ac:dyDescent="0.25">
      <c r="B50" s="24" t="s">
        <v>57</v>
      </c>
      <c r="C50" s="24">
        <v>54.2</v>
      </c>
      <c r="D50" s="24">
        <v>164.6</v>
      </c>
      <c r="E50" s="19" t="s">
        <v>103</v>
      </c>
    </row>
    <row r="51" spans="2:5" x14ac:dyDescent="0.25">
      <c r="B51" s="24" t="s">
        <v>58</v>
      </c>
      <c r="C51" s="24">
        <v>188.8</v>
      </c>
      <c r="D51" s="24">
        <v>100.2</v>
      </c>
      <c r="E51" s="19" t="s">
        <v>105</v>
      </c>
    </row>
    <row r="52" spans="2:5" x14ac:dyDescent="0.25">
      <c r="B52" s="24" t="s">
        <v>59</v>
      </c>
      <c r="C52" s="24">
        <v>88.9</v>
      </c>
      <c r="D52" s="24">
        <v>113</v>
      </c>
      <c r="E52" s="19" t="s">
        <v>105</v>
      </c>
    </row>
    <row r="53" spans="2:5" x14ac:dyDescent="0.25">
      <c r="B53" s="24" t="s">
        <v>60</v>
      </c>
      <c r="C53" s="24">
        <v>109.1</v>
      </c>
      <c r="D53" s="24">
        <v>200.8</v>
      </c>
      <c r="E53" s="19" t="s">
        <v>106</v>
      </c>
    </row>
    <row r="54" spans="2:5" x14ac:dyDescent="0.25">
      <c r="B54" s="24" t="s">
        <v>61</v>
      </c>
      <c r="C54" s="24">
        <v>120.3</v>
      </c>
      <c r="D54" s="24">
        <v>314.60000000000002</v>
      </c>
      <c r="E54" s="19" t="s">
        <v>103</v>
      </c>
    </row>
    <row r="55" spans="2:5" x14ac:dyDescent="0.25">
      <c r="B55" s="24" t="s">
        <v>62</v>
      </c>
      <c r="C55" s="24">
        <v>66.7</v>
      </c>
      <c r="D55" s="24">
        <v>1.9</v>
      </c>
      <c r="E55" s="19" t="s">
        <v>106</v>
      </c>
    </row>
    <row r="56" spans="2:5" x14ac:dyDescent="0.25">
      <c r="B56" s="24" t="s">
        <v>63</v>
      </c>
      <c r="C56" s="24">
        <v>81.599999999999994</v>
      </c>
      <c r="D56" s="24">
        <v>24.2</v>
      </c>
      <c r="E56" s="19" t="s">
        <v>106</v>
      </c>
    </row>
    <row r="57" spans="2:5" x14ac:dyDescent="0.25">
      <c r="B57" s="24" t="s">
        <v>64</v>
      </c>
      <c r="C57" s="24">
        <v>49.2</v>
      </c>
      <c r="D57" s="24">
        <v>848.8</v>
      </c>
      <c r="E57" s="19" t="s">
        <v>100</v>
      </c>
    </row>
    <row r="58" spans="2:5" x14ac:dyDescent="0.25">
      <c r="B58" s="24" t="s">
        <v>65</v>
      </c>
      <c r="C58" s="24">
        <v>82.5</v>
      </c>
      <c r="D58" s="24">
        <v>2521.6</v>
      </c>
      <c r="E58" s="19" t="s">
        <v>100</v>
      </c>
    </row>
    <row r="59" spans="2:5" x14ac:dyDescent="0.25">
      <c r="B59" s="24" t="s">
        <v>66</v>
      </c>
      <c r="C59" s="24">
        <v>89.9</v>
      </c>
      <c r="D59" s="24">
        <v>5.6</v>
      </c>
      <c r="E59" s="19" t="s">
        <v>102</v>
      </c>
    </row>
    <row r="60" spans="2:5" x14ac:dyDescent="0.25">
      <c r="B60" s="24" t="s">
        <v>68</v>
      </c>
      <c r="C60" s="24">
        <v>83.8</v>
      </c>
      <c r="D60" s="24">
        <v>567.4</v>
      </c>
      <c r="E60" s="19" t="s">
        <v>100</v>
      </c>
    </row>
    <row r="61" spans="2:5" x14ac:dyDescent="0.25">
      <c r="B61" s="24" t="s">
        <v>69</v>
      </c>
      <c r="C61" s="24">
        <v>99.1</v>
      </c>
      <c r="D61" s="24">
        <v>221.7</v>
      </c>
      <c r="E61" s="19" t="s">
        <v>106</v>
      </c>
    </row>
    <row r="62" spans="2:5" x14ac:dyDescent="0.25">
      <c r="B62" s="24" t="s">
        <v>70</v>
      </c>
      <c r="C62" s="24">
        <v>123.1</v>
      </c>
      <c r="D62" s="24">
        <v>384.3</v>
      </c>
      <c r="E62" s="19" t="s">
        <v>100</v>
      </c>
    </row>
    <row r="63" spans="2:5" x14ac:dyDescent="0.25">
      <c r="B63" s="24" t="s">
        <v>71</v>
      </c>
      <c r="C63" s="24">
        <v>85.8</v>
      </c>
      <c r="D63" s="24">
        <v>136.80000000000001</v>
      </c>
      <c r="E63" s="19" t="s">
        <v>101</v>
      </c>
    </row>
    <row r="64" spans="2:5" x14ac:dyDescent="0.25">
      <c r="B64" s="24" t="s">
        <v>72</v>
      </c>
      <c r="C64" s="24">
        <v>111.1</v>
      </c>
      <c r="D64" s="24">
        <v>11.7</v>
      </c>
      <c r="E64" s="19" t="s">
        <v>105</v>
      </c>
    </row>
    <row r="65" spans="2:5" x14ac:dyDescent="0.25">
      <c r="B65" s="24" t="s">
        <v>73</v>
      </c>
      <c r="C65" s="24">
        <v>124.1</v>
      </c>
      <c r="D65" s="24">
        <v>481</v>
      </c>
      <c r="E65" s="19" t="s">
        <v>104</v>
      </c>
    </row>
    <row r="66" spans="2:5" x14ac:dyDescent="0.25">
      <c r="B66" s="24" t="s">
        <v>74</v>
      </c>
      <c r="C66" s="24">
        <v>171.2</v>
      </c>
      <c r="D66" s="24">
        <v>139.30000000000001</v>
      </c>
      <c r="E66" s="19" t="s">
        <v>100</v>
      </c>
    </row>
    <row r="67" spans="2:5" x14ac:dyDescent="0.25">
      <c r="B67" s="24" t="s">
        <v>75</v>
      </c>
      <c r="C67" s="24">
        <v>166.4</v>
      </c>
      <c r="D67" s="24">
        <v>115.8</v>
      </c>
      <c r="E67" s="19" t="s">
        <v>103</v>
      </c>
    </row>
    <row r="68" spans="2:5" x14ac:dyDescent="0.25">
      <c r="B68" s="24" t="s">
        <v>76</v>
      </c>
      <c r="C68" s="24">
        <v>93</v>
      </c>
      <c r="D68" s="24">
        <v>183.1</v>
      </c>
      <c r="E68" s="19" t="s">
        <v>105</v>
      </c>
    </row>
    <row r="69" spans="2:5" x14ac:dyDescent="0.25">
      <c r="B69" s="24" t="s">
        <v>77</v>
      </c>
      <c r="C69" s="24">
        <v>122.8</v>
      </c>
      <c r="D69" s="24">
        <v>363.3</v>
      </c>
      <c r="E69" s="19" t="s">
        <v>104</v>
      </c>
    </row>
    <row r="70" spans="2:5" x14ac:dyDescent="0.25">
      <c r="B70" s="24" t="s">
        <v>78</v>
      </c>
      <c r="C70" s="24">
        <v>87.2</v>
      </c>
      <c r="D70" s="24">
        <v>4.4000000000000004</v>
      </c>
      <c r="E70" s="19" t="s">
        <v>102</v>
      </c>
    </row>
    <row r="71" spans="2:5" x14ac:dyDescent="0.25">
      <c r="B71" s="24" t="s">
        <v>79</v>
      </c>
      <c r="C71" s="24">
        <v>127.1</v>
      </c>
      <c r="D71" s="24">
        <v>365.4</v>
      </c>
      <c r="E71" s="19" t="s">
        <v>100</v>
      </c>
    </row>
    <row r="72" spans="2:5" x14ac:dyDescent="0.25">
      <c r="B72" s="24" t="s">
        <v>80</v>
      </c>
      <c r="C72" s="24">
        <v>95.5</v>
      </c>
      <c r="D72" s="24">
        <v>518.9</v>
      </c>
      <c r="E72" s="19" t="s">
        <v>106</v>
      </c>
    </row>
    <row r="73" spans="2:5" x14ac:dyDescent="0.25">
      <c r="B73" s="24" t="s">
        <v>81</v>
      </c>
      <c r="C73" s="24">
        <v>95.1</v>
      </c>
      <c r="D73" s="24">
        <v>665.7</v>
      </c>
      <c r="E73" s="19" t="s">
        <v>104</v>
      </c>
    </row>
    <row r="74" spans="2:5" x14ac:dyDescent="0.25">
      <c r="B74" s="24" t="s">
        <v>82</v>
      </c>
      <c r="C74" s="24">
        <v>117</v>
      </c>
      <c r="D74" s="24">
        <v>33</v>
      </c>
      <c r="E74" s="19" t="s">
        <v>105</v>
      </c>
    </row>
    <row r="75" spans="2:5" x14ac:dyDescent="0.25">
      <c r="B75" s="24" t="s">
        <v>83</v>
      </c>
      <c r="C75" s="24">
        <v>113.7</v>
      </c>
      <c r="D75" s="24">
        <v>338.4</v>
      </c>
      <c r="E75" s="19" t="s">
        <v>100</v>
      </c>
    </row>
    <row r="76" spans="2:5" x14ac:dyDescent="0.25">
      <c r="B76" s="24" t="s">
        <v>85</v>
      </c>
      <c r="C76" s="24">
        <v>97.9</v>
      </c>
      <c r="D76" s="24">
        <v>34.9</v>
      </c>
      <c r="E76" s="19" t="s">
        <v>102</v>
      </c>
    </row>
    <row r="77" spans="2:5" x14ac:dyDescent="0.25">
      <c r="B77" s="24" t="s">
        <v>86</v>
      </c>
      <c r="C77" s="24">
        <v>123.1</v>
      </c>
      <c r="D77" s="24">
        <v>71.2</v>
      </c>
      <c r="E77" s="19" t="s">
        <v>102</v>
      </c>
    </row>
    <row r="78" spans="2:5" x14ac:dyDescent="0.25">
      <c r="B78" s="24" t="s">
        <v>88</v>
      </c>
      <c r="C78" s="24">
        <v>111.7</v>
      </c>
      <c r="D78" s="24">
        <v>429.3</v>
      </c>
      <c r="E78" s="19" t="s">
        <v>100</v>
      </c>
    </row>
    <row r="79" spans="2:5" x14ac:dyDescent="0.25">
      <c r="B79" s="24" t="s">
        <v>89</v>
      </c>
      <c r="C79" s="24">
        <v>115.5</v>
      </c>
      <c r="D79" s="24">
        <v>110.7</v>
      </c>
      <c r="E79" s="19" t="s">
        <v>106</v>
      </c>
    </row>
    <row r="80" spans="2:5" x14ac:dyDescent="0.25">
      <c r="B80" s="24" t="s">
        <v>90</v>
      </c>
      <c r="C80" s="24">
        <v>86.3</v>
      </c>
      <c r="D80" s="24">
        <v>153.4</v>
      </c>
      <c r="E80" s="19" t="s">
        <v>104</v>
      </c>
    </row>
    <row r="81" spans="2:5" x14ac:dyDescent="0.25">
      <c r="B81" s="24" t="s">
        <v>91</v>
      </c>
      <c r="C81" s="24">
        <v>160.4</v>
      </c>
      <c r="D81" s="24">
        <v>394.2</v>
      </c>
      <c r="E81" s="19" t="s">
        <v>100</v>
      </c>
    </row>
    <row r="82" spans="2:5" x14ac:dyDescent="0.25">
      <c r="B82" s="24" t="s">
        <v>92</v>
      </c>
      <c r="C82" s="24">
        <v>65.7</v>
      </c>
      <c r="D82" s="24">
        <v>331.2</v>
      </c>
      <c r="E82" s="19" t="s">
        <v>100</v>
      </c>
    </row>
    <row r="83" spans="2:5" x14ac:dyDescent="0.25">
      <c r="B83" s="24" t="s">
        <v>93</v>
      </c>
      <c r="C83" s="24">
        <v>82.2</v>
      </c>
      <c r="D83" s="24">
        <v>732</v>
      </c>
      <c r="E83" s="19" t="s">
        <v>100</v>
      </c>
    </row>
    <row r="84" spans="2:5" x14ac:dyDescent="0.25">
      <c r="B84" s="24" t="s">
        <v>94</v>
      </c>
      <c r="C84" s="24">
        <v>122.4</v>
      </c>
      <c r="D84" s="24">
        <v>84.8</v>
      </c>
      <c r="E84" s="19" t="s">
        <v>104</v>
      </c>
    </row>
    <row r="85" spans="2:5" x14ac:dyDescent="0.25">
      <c r="B85" s="24" t="s">
        <v>95</v>
      </c>
      <c r="C85" s="24">
        <v>67.099999999999994</v>
      </c>
      <c r="D85" s="24">
        <v>29.6</v>
      </c>
      <c r="E85" s="19" t="s">
        <v>106</v>
      </c>
    </row>
    <row r="86" spans="2:5" x14ac:dyDescent="0.25">
      <c r="B86" s="24" t="s">
        <v>96</v>
      </c>
      <c r="C86" s="24">
        <v>166.8</v>
      </c>
      <c r="D86" s="24">
        <v>37.200000000000003</v>
      </c>
      <c r="E86" s="19" t="s">
        <v>102</v>
      </c>
    </row>
    <row r="87" spans="2:5" x14ac:dyDescent="0.25">
      <c r="B87" s="24" t="s">
        <v>97</v>
      </c>
      <c r="C87" s="24">
        <v>105.4</v>
      </c>
      <c r="D87" s="24">
        <v>199.8</v>
      </c>
      <c r="E87" s="19" t="s">
        <v>105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22"/>
  <sheetViews>
    <sheetView tabSelected="1" topLeftCell="A22" workbookViewId="0">
      <selection activeCell="F21" sqref="F21"/>
    </sheetView>
  </sheetViews>
  <sheetFormatPr defaultRowHeight="15" x14ac:dyDescent="0.25"/>
  <cols>
    <col min="3" max="3" width="29.140625" customWidth="1"/>
    <col min="4" max="4" width="29" customWidth="1"/>
  </cols>
  <sheetData>
    <row r="2" spans="3:3" x14ac:dyDescent="0.25">
      <c r="C2" t="s">
        <v>130</v>
      </c>
    </row>
    <row r="19" spans="3:4" x14ac:dyDescent="0.25">
      <c r="D19" t="s">
        <v>131</v>
      </c>
    </row>
    <row r="20" spans="3:4" x14ac:dyDescent="0.25">
      <c r="D20" s="35" t="s">
        <v>132</v>
      </c>
    </row>
    <row r="21" spans="3:4" ht="93.75" customHeight="1" x14ac:dyDescent="0.25">
      <c r="C21" s="36" t="s">
        <v>133</v>
      </c>
      <c r="D21" s="36" t="s">
        <v>134</v>
      </c>
    </row>
    <row r="22" spans="3:4" x14ac:dyDescent="0.25">
      <c r="C22" t="s">
        <v>179</v>
      </c>
    </row>
  </sheetData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6"/>
  <sheetViews>
    <sheetView zoomScaleNormal="100" zoomScalePageLayoutView="60" workbookViewId="0"/>
  </sheetViews>
  <sheetFormatPr defaultColWidth="11.5703125" defaultRowHeight="15" x14ac:dyDescent="0.25"/>
  <sheetData>
    <row r="1" spans="1:1" x14ac:dyDescent="0.25">
      <c r="A1" t="s">
        <v>5</v>
      </c>
    </row>
    <row r="2" spans="1:1" x14ac:dyDescent="0.25">
      <c r="A2">
        <v>37.200000000000003</v>
      </c>
    </row>
    <row r="3" spans="1:1" x14ac:dyDescent="0.25">
      <c r="A3">
        <v>74.900000000000006</v>
      </c>
    </row>
    <row r="4" spans="1:1" x14ac:dyDescent="0.25">
      <c r="A4">
        <v>71.3</v>
      </c>
    </row>
    <row r="5" spans="1:1" x14ac:dyDescent="0.25">
      <c r="A5">
        <v>37.299999999999997</v>
      </c>
    </row>
    <row r="6" spans="1:1" x14ac:dyDescent="0.25">
      <c r="A6">
        <v>52.2</v>
      </c>
    </row>
    <row r="7" spans="1:1" x14ac:dyDescent="0.25">
      <c r="A7">
        <v>84.1</v>
      </c>
    </row>
    <row r="8" spans="1:1" x14ac:dyDescent="0.25">
      <c r="A8">
        <v>88.4</v>
      </c>
    </row>
    <row r="9" spans="1:1" x14ac:dyDescent="0.25">
      <c r="A9">
        <v>71.400000000000006</v>
      </c>
    </row>
    <row r="10" spans="1:1" x14ac:dyDescent="0.25">
      <c r="A10">
        <v>59.7</v>
      </c>
    </row>
    <row r="11" spans="1:1" x14ac:dyDescent="0.25">
      <c r="A11">
        <v>41.9</v>
      </c>
    </row>
    <row r="12" spans="1:1" x14ac:dyDescent="0.25">
      <c r="A12">
        <v>72.8</v>
      </c>
    </row>
    <row r="13" spans="1:1" x14ac:dyDescent="0.25">
      <c r="A13">
        <v>53.9</v>
      </c>
    </row>
    <row r="14" spans="1:1" x14ac:dyDescent="0.25">
      <c r="A14">
        <v>54.5</v>
      </c>
    </row>
    <row r="15" spans="1:1" x14ac:dyDescent="0.25">
      <c r="A15">
        <v>60.7</v>
      </c>
    </row>
    <row r="16" spans="1:1" x14ac:dyDescent="0.25">
      <c r="A16">
        <v>39.299999999999997</v>
      </c>
    </row>
    <row r="17" spans="1:1" x14ac:dyDescent="0.25">
      <c r="A17">
        <v>65</v>
      </c>
    </row>
    <row r="18" spans="1:1" x14ac:dyDescent="0.25">
      <c r="A18">
        <v>43.4</v>
      </c>
    </row>
    <row r="19" spans="1:1" x14ac:dyDescent="0.25">
      <c r="A19">
        <v>74.8</v>
      </c>
    </row>
    <row r="20" spans="1:1" x14ac:dyDescent="0.25">
      <c r="A20">
        <v>52</v>
      </c>
    </row>
    <row r="21" spans="1:1" x14ac:dyDescent="0.25">
      <c r="A21">
        <v>60.1</v>
      </c>
    </row>
    <row r="22" spans="1:1" x14ac:dyDescent="0.25">
      <c r="A22">
        <v>43.5</v>
      </c>
    </row>
    <row r="23" spans="1:1" x14ac:dyDescent="0.25">
      <c r="A23">
        <v>70.7</v>
      </c>
    </row>
    <row r="24" spans="1:1" x14ac:dyDescent="0.25">
      <c r="A24">
        <v>59</v>
      </c>
    </row>
    <row r="25" spans="1:1" x14ac:dyDescent="0.25">
      <c r="A25">
        <v>38.1</v>
      </c>
    </row>
    <row r="26" spans="1:1" x14ac:dyDescent="0.25">
      <c r="A26">
        <v>59.3</v>
      </c>
    </row>
    <row r="27" spans="1:1" x14ac:dyDescent="0.25">
      <c r="A27">
        <v>63.4</v>
      </c>
    </row>
    <row r="28" spans="1:1" x14ac:dyDescent="0.25">
      <c r="A28">
        <v>43.2</v>
      </c>
    </row>
    <row r="29" spans="1:1" x14ac:dyDescent="0.25">
      <c r="A29">
        <v>65.2</v>
      </c>
    </row>
    <row r="30" spans="1:1" x14ac:dyDescent="0.25">
      <c r="A30">
        <v>45.9</v>
      </c>
    </row>
    <row r="31" spans="1:1" x14ac:dyDescent="0.25">
      <c r="A31">
        <v>45</v>
      </c>
    </row>
    <row r="32" spans="1:1" x14ac:dyDescent="0.25">
      <c r="A32">
        <v>41.1</v>
      </c>
    </row>
    <row r="33" spans="1:1" x14ac:dyDescent="0.25">
      <c r="A33">
        <v>30.9</v>
      </c>
    </row>
    <row r="34" spans="1:1" x14ac:dyDescent="0.25">
      <c r="A34">
        <v>41.2</v>
      </c>
    </row>
    <row r="35" spans="1:1" x14ac:dyDescent="0.25">
      <c r="A35">
        <v>44.1</v>
      </c>
    </row>
    <row r="36" spans="1:1" x14ac:dyDescent="0.25">
      <c r="A36">
        <v>50</v>
      </c>
    </row>
    <row r="37" spans="1:1" x14ac:dyDescent="0.25">
      <c r="A37">
        <v>47</v>
      </c>
    </row>
    <row r="38" spans="1:1" x14ac:dyDescent="0.25">
      <c r="A38">
        <v>82.8</v>
      </c>
    </row>
    <row r="39" spans="1:1" x14ac:dyDescent="0.25">
      <c r="A39">
        <v>74.2</v>
      </c>
    </row>
    <row r="40" spans="1:1" x14ac:dyDescent="0.25">
      <c r="A40">
        <v>46.7</v>
      </c>
    </row>
    <row r="41" spans="1:1" x14ac:dyDescent="0.25">
      <c r="A41">
        <v>67.099999999999994</v>
      </c>
    </row>
    <row r="42" spans="1:1" x14ac:dyDescent="0.25">
      <c r="A42">
        <v>38</v>
      </c>
    </row>
    <row r="43" spans="1:1" x14ac:dyDescent="0.25">
      <c r="A43">
        <v>77.099999999999994</v>
      </c>
    </row>
    <row r="44" spans="1:1" x14ac:dyDescent="0.25">
      <c r="A44">
        <v>46.8</v>
      </c>
    </row>
    <row r="45" spans="1:1" x14ac:dyDescent="0.25">
      <c r="A45">
        <v>61.8</v>
      </c>
    </row>
    <row r="46" spans="1:1" x14ac:dyDescent="0.25">
      <c r="A46">
        <v>64.5</v>
      </c>
    </row>
    <row r="47" spans="1:1" x14ac:dyDescent="0.25">
      <c r="A47">
        <v>61.4</v>
      </c>
    </row>
    <row r="48" spans="1:1" x14ac:dyDescent="0.25">
      <c r="A48">
        <v>50.9</v>
      </c>
    </row>
    <row r="49" spans="1:1" x14ac:dyDescent="0.25">
      <c r="A49">
        <v>53.3</v>
      </c>
    </row>
    <row r="50" spans="1:1" x14ac:dyDescent="0.25">
      <c r="A50">
        <v>45.1</v>
      </c>
    </row>
    <row r="51" spans="1:1" x14ac:dyDescent="0.25">
      <c r="A51">
        <v>53.3</v>
      </c>
    </row>
    <row r="52" spans="1:1" x14ac:dyDescent="0.25">
      <c r="A52">
        <v>56.1</v>
      </c>
    </row>
    <row r="53" spans="1:1" x14ac:dyDescent="0.25">
      <c r="A53">
        <v>44.9</v>
      </c>
    </row>
    <row r="54" spans="1:1" x14ac:dyDescent="0.25">
      <c r="A54">
        <v>62.6</v>
      </c>
    </row>
    <row r="55" spans="1:1" x14ac:dyDescent="0.25">
      <c r="A55">
        <v>57.5</v>
      </c>
    </row>
    <row r="56" spans="1:1" x14ac:dyDescent="0.25">
      <c r="A56">
        <v>73.900000000000006</v>
      </c>
    </row>
    <row r="57" spans="1:1" x14ac:dyDescent="0.25">
      <c r="A57">
        <v>97.6</v>
      </c>
    </row>
    <row r="58" spans="1:1" x14ac:dyDescent="0.25">
      <c r="A58">
        <v>37.299999999999997</v>
      </c>
    </row>
    <row r="59" spans="1:1" x14ac:dyDescent="0.25">
      <c r="A59">
        <v>62.8</v>
      </c>
    </row>
    <row r="60" spans="1:1" x14ac:dyDescent="0.25">
      <c r="A60">
        <v>58.7</v>
      </c>
    </row>
    <row r="61" spans="1:1" x14ac:dyDescent="0.25">
      <c r="A61">
        <v>46.5</v>
      </c>
    </row>
    <row r="62" spans="1:1" x14ac:dyDescent="0.25">
      <c r="A62">
        <v>57.2</v>
      </c>
    </row>
    <row r="63" spans="1:1" x14ac:dyDescent="0.25">
      <c r="A63">
        <v>64</v>
      </c>
    </row>
    <row r="64" spans="1:1" x14ac:dyDescent="0.25">
      <c r="A64">
        <v>84.4</v>
      </c>
    </row>
    <row r="65" spans="1:1" x14ac:dyDescent="0.25">
      <c r="A65">
        <v>48.3</v>
      </c>
    </row>
    <row r="66" spans="1:1" x14ac:dyDescent="0.25">
      <c r="A66">
        <v>26.3</v>
      </c>
    </row>
    <row r="67" spans="1:1" x14ac:dyDescent="0.25">
      <c r="A67">
        <v>71.2</v>
      </c>
    </row>
    <row r="68" spans="1:1" x14ac:dyDescent="0.25">
      <c r="A68">
        <v>45.4</v>
      </c>
    </row>
    <row r="69" spans="1:1" x14ac:dyDescent="0.25">
      <c r="A69">
        <v>53.4</v>
      </c>
    </row>
    <row r="70" spans="1:1" x14ac:dyDescent="0.25">
      <c r="A70">
        <v>51.4</v>
      </c>
    </row>
    <row r="71" spans="1:1" x14ac:dyDescent="0.25">
      <c r="A71">
        <v>59.8</v>
      </c>
    </row>
    <row r="72" spans="1:1" x14ac:dyDescent="0.25">
      <c r="A72">
        <v>62.4</v>
      </c>
    </row>
    <row r="73" spans="1:1" x14ac:dyDescent="0.25">
      <c r="A73">
        <v>44.6</v>
      </c>
    </row>
    <row r="74" spans="1:1" x14ac:dyDescent="0.25">
      <c r="A74">
        <v>57.3</v>
      </c>
    </row>
    <row r="75" spans="1:1" x14ac:dyDescent="0.25">
      <c r="A75">
        <v>46.1</v>
      </c>
    </row>
    <row r="76" spans="1:1" x14ac:dyDescent="0.25">
      <c r="A76">
        <v>41.4</v>
      </c>
    </row>
    <row r="77" spans="1:1" x14ac:dyDescent="0.25">
      <c r="A77">
        <v>56.7</v>
      </c>
    </row>
    <row r="78" spans="1:1" x14ac:dyDescent="0.25">
      <c r="A78">
        <v>42.9</v>
      </c>
    </row>
    <row r="79" spans="1:1" x14ac:dyDescent="0.25">
      <c r="A79">
        <v>29.7</v>
      </c>
    </row>
    <row r="80" spans="1:1" x14ac:dyDescent="0.25">
      <c r="A80">
        <v>43.5</v>
      </c>
    </row>
    <row r="81" spans="1:1" x14ac:dyDescent="0.25">
      <c r="A81">
        <v>49.4</v>
      </c>
    </row>
    <row r="82" spans="1:1" x14ac:dyDescent="0.25">
      <c r="A82">
        <v>77.3</v>
      </c>
    </row>
    <row r="83" spans="1:1" x14ac:dyDescent="0.25">
      <c r="A83">
        <v>39.9</v>
      </c>
    </row>
    <row r="84" spans="1:1" x14ac:dyDescent="0.25">
      <c r="A84">
        <v>15.7</v>
      </c>
    </row>
    <row r="85" spans="1:1" x14ac:dyDescent="0.25">
      <c r="A85">
        <v>33.5</v>
      </c>
    </row>
    <row r="86" spans="1:1" x14ac:dyDescent="0.25">
      <c r="A86">
        <v>36.299999999999997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zoomScaleNormal="100" zoomScalePageLayoutView="60" workbookViewId="0"/>
  </sheetViews>
  <sheetFormatPr defaultColWidth="11.5703125" defaultRowHeight="15" x14ac:dyDescent="0.25"/>
  <sheetData>
    <row r="1" spans="1:4" x14ac:dyDescent="0.25">
      <c r="A1" t="s">
        <v>1</v>
      </c>
      <c r="B1" t="s">
        <v>2</v>
      </c>
      <c r="C1" t="s">
        <v>6</v>
      </c>
      <c r="D1" t="s">
        <v>99</v>
      </c>
    </row>
    <row r="2" spans="1:4" x14ac:dyDescent="0.25">
      <c r="A2" t="s">
        <v>7</v>
      </c>
      <c r="B2">
        <v>133.30000000000001</v>
      </c>
      <c r="C2">
        <v>287.10000000000002</v>
      </c>
      <c r="D2" t="s">
        <v>100</v>
      </c>
    </row>
    <row r="3" spans="1:4" x14ac:dyDescent="0.25">
      <c r="A3" t="s">
        <v>8</v>
      </c>
      <c r="B3">
        <v>42.5</v>
      </c>
      <c r="C3">
        <v>3.7</v>
      </c>
      <c r="D3" t="s">
        <v>101</v>
      </c>
    </row>
    <row r="4" spans="1:4" x14ac:dyDescent="0.25">
      <c r="A4" t="s">
        <v>9</v>
      </c>
      <c r="B4">
        <v>46.7</v>
      </c>
      <c r="C4">
        <v>1.3</v>
      </c>
      <c r="D4" t="s">
        <v>102</v>
      </c>
    </row>
    <row r="5" spans="1:4" x14ac:dyDescent="0.25">
      <c r="A5" t="s">
        <v>10</v>
      </c>
      <c r="B5">
        <v>95.1</v>
      </c>
      <c r="C5">
        <v>471.7</v>
      </c>
      <c r="D5" t="s">
        <v>103</v>
      </c>
    </row>
    <row r="6" spans="1:4" x14ac:dyDescent="0.25">
      <c r="A6" t="s">
        <v>11</v>
      </c>
      <c r="B6">
        <v>11.1</v>
      </c>
      <c r="C6">
        <v>651.70000000000005</v>
      </c>
      <c r="D6" t="s">
        <v>104</v>
      </c>
    </row>
    <row r="7" spans="1:4" x14ac:dyDescent="0.25">
      <c r="A7" t="s">
        <v>12</v>
      </c>
      <c r="B7">
        <v>96.7</v>
      </c>
      <c r="C7">
        <v>248.6</v>
      </c>
      <c r="D7" t="s">
        <v>101</v>
      </c>
    </row>
    <row r="8" spans="1:4" x14ac:dyDescent="0.25">
      <c r="A8" t="s">
        <v>16</v>
      </c>
      <c r="B8">
        <v>53.9</v>
      </c>
      <c r="C8">
        <v>11.7</v>
      </c>
      <c r="D8" t="s">
        <v>101</v>
      </c>
    </row>
    <row r="9" spans="1:4" x14ac:dyDescent="0.25">
      <c r="A9" t="s">
        <v>17</v>
      </c>
      <c r="B9">
        <v>110.7</v>
      </c>
      <c r="C9">
        <v>12.8</v>
      </c>
      <c r="D9" t="s">
        <v>102</v>
      </c>
    </row>
    <row r="10" spans="1:4" x14ac:dyDescent="0.25">
      <c r="A10" t="s">
        <v>18</v>
      </c>
      <c r="B10">
        <v>88.1</v>
      </c>
      <c r="C10">
        <v>262.60000000000002</v>
      </c>
      <c r="D10" t="s">
        <v>103</v>
      </c>
    </row>
    <row r="11" spans="1:4" x14ac:dyDescent="0.25">
      <c r="A11" t="s">
        <v>19</v>
      </c>
      <c r="B11">
        <v>112.8</v>
      </c>
      <c r="C11">
        <v>269.60000000000002</v>
      </c>
      <c r="D11" t="s">
        <v>103</v>
      </c>
    </row>
    <row r="12" spans="1:4" x14ac:dyDescent="0.25">
      <c r="A12" t="s">
        <v>20</v>
      </c>
      <c r="B12">
        <v>176.8</v>
      </c>
      <c r="C12">
        <v>93.2</v>
      </c>
      <c r="D12" t="s">
        <v>101</v>
      </c>
    </row>
    <row r="13" spans="1:4" x14ac:dyDescent="0.25">
      <c r="A13" t="s">
        <v>21</v>
      </c>
      <c r="B13">
        <v>108.6</v>
      </c>
      <c r="C13">
        <v>413.1</v>
      </c>
      <c r="D13" t="s">
        <v>100</v>
      </c>
    </row>
    <row r="14" spans="1:4" x14ac:dyDescent="0.25">
      <c r="A14" t="s">
        <v>22</v>
      </c>
      <c r="B14">
        <v>49.4</v>
      </c>
      <c r="C14">
        <v>25.6</v>
      </c>
      <c r="D14" t="s">
        <v>105</v>
      </c>
    </row>
    <row r="15" spans="1:4" x14ac:dyDescent="0.25">
      <c r="A15" t="s">
        <v>23</v>
      </c>
      <c r="B15">
        <v>108.4</v>
      </c>
      <c r="C15">
        <v>257.5</v>
      </c>
      <c r="D15" t="s">
        <v>100</v>
      </c>
    </row>
    <row r="16" spans="1:4" x14ac:dyDescent="0.25">
      <c r="A16" t="s">
        <v>24</v>
      </c>
      <c r="B16">
        <v>104.1</v>
      </c>
      <c r="C16">
        <v>299.2</v>
      </c>
      <c r="D16" t="s">
        <v>100</v>
      </c>
    </row>
    <row r="17" spans="1:4" x14ac:dyDescent="0.25">
      <c r="A17" t="s">
        <v>25</v>
      </c>
      <c r="B17">
        <v>118.1</v>
      </c>
      <c r="C17">
        <v>280.7</v>
      </c>
      <c r="D17" t="s">
        <v>104</v>
      </c>
    </row>
    <row r="18" spans="1:4" x14ac:dyDescent="0.25">
      <c r="A18" t="s">
        <v>26</v>
      </c>
      <c r="B18">
        <v>116.4</v>
      </c>
      <c r="C18">
        <v>336.6</v>
      </c>
      <c r="D18" t="s">
        <v>100</v>
      </c>
    </row>
    <row r="19" spans="1:4" x14ac:dyDescent="0.25">
      <c r="A19" t="s">
        <v>27</v>
      </c>
      <c r="B19">
        <v>125.8</v>
      </c>
      <c r="C19">
        <v>1213.5</v>
      </c>
      <c r="D19" t="s">
        <v>104</v>
      </c>
    </row>
    <row r="20" spans="1:4" x14ac:dyDescent="0.25">
      <c r="A20" t="s">
        <v>28</v>
      </c>
      <c r="B20">
        <v>52.5</v>
      </c>
      <c r="C20">
        <v>129.80000000000001</v>
      </c>
      <c r="D20" t="s">
        <v>101</v>
      </c>
    </row>
    <row r="21" spans="1:4" x14ac:dyDescent="0.25">
      <c r="A21" t="s">
        <v>29</v>
      </c>
      <c r="B21">
        <v>73.8</v>
      </c>
      <c r="C21">
        <v>33.200000000000003</v>
      </c>
      <c r="D21" t="s">
        <v>102</v>
      </c>
    </row>
    <row r="22" spans="1:4" x14ac:dyDescent="0.25">
      <c r="A22" t="s">
        <v>30</v>
      </c>
      <c r="B22">
        <v>114.5</v>
      </c>
      <c r="C22">
        <v>181.7</v>
      </c>
      <c r="D22" t="s">
        <v>103</v>
      </c>
    </row>
    <row r="23" spans="1:4" x14ac:dyDescent="0.25">
      <c r="A23" t="s">
        <v>31</v>
      </c>
      <c r="B23">
        <v>89.6</v>
      </c>
      <c r="C23">
        <v>2542.4</v>
      </c>
      <c r="D23" t="s">
        <v>106</v>
      </c>
    </row>
    <row r="24" spans="1:4" x14ac:dyDescent="0.25">
      <c r="A24" t="s">
        <v>32</v>
      </c>
      <c r="B24">
        <v>104.8</v>
      </c>
      <c r="C24">
        <v>352.1</v>
      </c>
      <c r="D24" t="s">
        <v>103</v>
      </c>
    </row>
    <row r="25" spans="1:4" x14ac:dyDescent="0.25">
      <c r="A25" t="s">
        <v>33</v>
      </c>
      <c r="B25">
        <v>109.6</v>
      </c>
      <c r="C25">
        <v>284.8</v>
      </c>
      <c r="D25" t="s">
        <v>100</v>
      </c>
    </row>
    <row r="26" spans="1:4" x14ac:dyDescent="0.25">
      <c r="A26" t="s">
        <v>34</v>
      </c>
      <c r="B26">
        <v>76.599999999999994</v>
      </c>
      <c r="C26">
        <v>272.8</v>
      </c>
      <c r="D26" t="s">
        <v>104</v>
      </c>
    </row>
    <row r="27" spans="1:4" x14ac:dyDescent="0.25">
      <c r="A27" t="s">
        <v>35</v>
      </c>
      <c r="B27">
        <v>82.9</v>
      </c>
      <c r="C27">
        <v>94.6</v>
      </c>
      <c r="D27" t="s">
        <v>105</v>
      </c>
    </row>
    <row r="28" spans="1:4" x14ac:dyDescent="0.25">
      <c r="A28" t="s">
        <v>36</v>
      </c>
      <c r="B28">
        <v>265.10000000000002</v>
      </c>
      <c r="C28">
        <v>22.2</v>
      </c>
      <c r="D28" t="s">
        <v>105</v>
      </c>
    </row>
    <row r="29" spans="1:4" x14ac:dyDescent="0.25">
      <c r="A29" t="s">
        <v>37</v>
      </c>
      <c r="B29">
        <v>97</v>
      </c>
      <c r="C29">
        <v>476</v>
      </c>
      <c r="D29" t="s">
        <v>103</v>
      </c>
    </row>
    <row r="30" spans="1:4" x14ac:dyDescent="0.25">
      <c r="A30" t="s">
        <v>38</v>
      </c>
      <c r="B30">
        <v>131.5</v>
      </c>
      <c r="C30">
        <v>716.9</v>
      </c>
      <c r="D30" t="s">
        <v>104</v>
      </c>
    </row>
    <row r="31" spans="1:4" x14ac:dyDescent="0.25">
      <c r="A31" t="s">
        <v>39</v>
      </c>
      <c r="B31">
        <v>107.1</v>
      </c>
      <c r="C31">
        <v>4.0999999999999996</v>
      </c>
      <c r="D31" t="s">
        <v>102</v>
      </c>
    </row>
    <row r="32" spans="1:4" x14ac:dyDescent="0.25">
      <c r="A32" t="s">
        <v>40</v>
      </c>
      <c r="B32">
        <v>77.400000000000006</v>
      </c>
      <c r="C32">
        <v>305</v>
      </c>
      <c r="D32" t="s">
        <v>103</v>
      </c>
    </row>
    <row r="33" spans="1:4" x14ac:dyDescent="0.25">
      <c r="A33" t="s">
        <v>41</v>
      </c>
      <c r="B33">
        <v>141.69999999999999</v>
      </c>
      <c r="C33">
        <v>226.1</v>
      </c>
      <c r="D33" t="s">
        <v>103</v>
      </c>
    </row>
    <row r="34" spans="1:4" x14ac:dyDescent="0.25">
      <c r="A34" t="s">
        <v>42</v>
      </c>
      <c r="B34">
        <v>98.4</v>
      </c>
      <c r="C34">
        <v>511.7</v>
      </c>
      <c r="D34" t="s">
        <v>104</v>
      </c>
    </row>
    <row r="35" spans="1:4" x14ac:dyDescent="0.25">
      <c r="A35" t="s">
        <v>43</v>
      </c>
      <c r="B35">
        <v>122.9</v>
      </c>
      <c r="C35">
        <v>16.5</v>
      </c>
      <c r="D35" t="s">
        <v>106</v>
      </c>
    </row>
    <row r="36" spans="1:4" x14ac:dyDescent="0.25">
      <c r="A36" t="s">
        <v>44</v>
      </c>
      <c r="B36">
        <v>92.7</v>
      </c>
      <c r="C36">
        <v>48.1</v>
      </c>
      <c r="D36" t="s">
        <v>106</v>
      </c>
    </row>
    <row r="37" spans="1:4" x14ac:dyDescent="0.25">
      <c r="A37" t="s">
        <v>45</v>
      </c>
      <c r="B37">
        <v>219.4</v>
      </c>
      <c r="C37">
        <v>51.3</v>
      </c>
      <c r="D37" t="s">
        <v>104</v>
      </c>
    </row>
    <row r="38" spans="1:4" x14ac:dyDescent="0.25">
      <c r="A38" t="s">
        <v>46</v>
      </c>
      <c r="B38">
        <v>65.599999999999994</v>
      </c>
      <c r="C38">
        <v>1024.5</v>
      </c>
      <c r="D38" t="s">
        <v>104</v>
      </c>
    </row>
    <row r="39" spans="1:4" x14ac:dyDescent="0.25">
      <c r="A39" t="s">
        <v>47</v>
      </c>
      <c r="B39">
        <v>89.3</v>
      </c>
      <c r="C39">
        <v>477.5</v>
      </c>
      <c r="D39" t="s">
        <v>104</v>
      </c>
    </row>
    <row r="40" spans="1:4" x14ac:dyDescent="0.25">
      <c r="A40" t="s">
        <v>48</v>
      </c>
      <c r="B40">
        <v>116.8</v>
      </c>
      <c r="C40">
        <v>27.3</v>
      </c>
      <c r="D40" t="s">
        <v>105</v>
      </c>
    </row>
    <row r="41" spans="1:4" x14ac:dyDescent="0.25">
      <c r="A41" t="s">
        <v>49</v>
      </c>
      <c r="B41">
        <v>65.5</v>
      </c>
      <c r="C41">
        <v>325.10000000000002</v>
      </c>
      <c r="D41" t="s">
        <v>103</v>
      </c>
    </row>
    <row r="42" spans="1:4" x14ac:dyDescent="0.25">
      <c r="A42" t="s">
        <v>50</v>
      </c>
      <c r="B42">
        <v>148.5</v>
      </c>
      <c r="C42">
        <v>49.9</v>
      </c>
      <c r="D42" t="s">
        <v>105</v>
      </c>
    </row>
    <row r="43" spans="1:4" x14ac:dyDescent="0.25">
      <c r="A43" t="s">
        <v>51</v>
      </c>
      <c r="B43">
        <v>77</v>
      </c>
      <c r="C43">
        <v>578.79999999999995</v>
      </c>
      <c r="D43" t="s">
        <v>104</v>
      </c>
    </row>
    <row r="44" spans="1:4" x14ac:dyDescent="0.25">
      <c r="A44" t="s">
        <v>52</v>
      </c>
      <c r="B44">
        <v>120.5</v>
      </c>
      <c r="C44">
        <v>312.60000000000002</v>
      </c>
      <c r="D44" t="s">
        <v>106</v>
      </c>
    </row>
    <row r="45" spans="1:4" x14ac:dyDescent="0.25">
      <c r="A45" t="s">
        <v>53</v>
      </c>
      <c r="B45">
        <v>104.4</v>
      </c>
      <c r="C45">
        <v>93.7</v>
      </c>
      <c r="D45" t="s">
        <v>102</v>
      </c>
    </row>
    <row r="46" spans="1:4" x14ac:dyDescent="0.25">
      <c r="A46" t="s">
        <v>54</v>
      </c>
      <c r="B46">
        <v>74.2</v>
      </c>
      <c r="C46">
        <v>146.9</v>
      </c>
      <c r="D46" t="s">
        <v>103</v>
      </c>
    </row>
    <row r="47" spans="1:4" x14ac:dyDescent="0.25">
      <c r="A47" t="s">
        <v>55</v>
      </c>
      <c r="B47">
        <v>143.19999999999999</v>
      </c>
      <c r="C47">
        <v>279</v>
      </c>
      <c r="D47" t="s">
        <v>103</v>
      </c>
    </row>
    <row r="48" spans="1:4" x14ac:dyDescent="0.25">
      <c r="A48" t="s">
        <v>56</v>
      </c>
      <c r="B48">
        <v>85.3</v>
      </c>
      <c r="C48">
        <v>409.4</v>
      </c>
      <c r="D48" t="s">
        <v>100</v>
      </c>
    </row>
    <row r="49" spans="1:4" x14ac:dyDescent="0.25">
      <c r="A49" t="s">
        <v>57</v>
      </c>
      <c r="B49">
        <v>54.2</v>
      </c>
      <c r="C49">
        <v>164.6</v>
      </c>
      <c r="D49" t="s">
        <v>103</v>
      </c>
    </row>
    <row r="50" spans="1:4" x14ac:dyDescent="0.25">
      <c r="A50" t="s">
        <v>58</v>
      </c>
      <c r="B50">
        <v>188.8</v>
      </c>
      <c r="C50">
        <v>100.2</v>
      </c>
      <c r="D50" t="s">
        <v>105</v>
      </c>
    </row>
    <row r="51" spans="1:4" x14ac:dyDescent="0.25">
      <c r="A51" t="s">
        <v>59</v>
      </c>
      <c r="B51">
        <v>88.9</v>
      </c>
      <c r="C51">
        <v>113</v>
      </c>
      <c r="D51" t="s">
        <v>105</v>
      </c>
    </row>
    <row r="52" spans="1:4" x14ac:dyDescent="0.25">
      <c r="A52" t="s">
        <v>60</v>
      </c>
      <c r="B52">
        <v>109.1</v>
      </c>
      <c r="C52">
        <v>200.8</v>
      </c>
      <c r="D52" t="s">
        <v>106</v>
      </c>
    </row>
    <row r="53" spans="1:4" x14ac:dyDescent="0.25">
      <c r="A53" t="s">
        <v>61</v>
      </c>
      <c r="B53">
        <v>120.3</v>
      </c>
      <c r="C53">
        <v>314.60000000000002</v>
      </c>
      <c r="D53" t="s">
        <v>103</v>
      </c>
    </row>
    <row r="54" spans="1:4" x14ac:dyDescent="0.25">
      <c r="A54" t="s">
        <v>62</v>
      </c>
      <c r="B54">
        <v>66.7</v>
      </c>
      <c r="C54">
        <v>1.9</v>
      </c>
      <c r="D54" t="s">
        <v>106</v>
      </c>
    </row>
    <row r="55" spans="1:4" x14ac:dyDescent="0.25">
      <c r="A55" t="s">
        <v>63</v>
      </c>
      <c r="B55">
        <v>81.599999999999994</v>
      </c>
      <c r="C55">
        <v>24.2</v>
      </c>
      <c r="D55" t="s">
        <v>106</v>
      </c>
    </row>
    <row r="56" spans="1:4" x14ac:dyDescent="0.25">
      <c r="A56" t="s">
        <v>64</v>
      </c>
      <c r="B56">
        <v>49.2</v>
      </c>
      <c r="C56">
        <v>848.8</v>
      </c>
      <c r="D56" t="s">
        <v>100</v>
      </c>
    </row>
    <row r="57" spans="1:4" x14ac:dyDescent="0.25">
      <c r="A57" t="s">
        <v>65</v>
      </c>
      <c r="B57">
        <v>82.5</v>
      </c>
      <c r="C57">
        <v>2521.6</v>
      </c>
      <c r="D57" t="s">
        <v>100</v>
      </c>
    </row>
    <row r="58" spans="1:4" x14ac:dyDescent="0.25">
      <c r="A58" t="s">
        <v>66</v>
      </c>
      <c r="B58">
        <v>89.9</v>
      </c>
      <c r="C58">
        <v>5.6</v>
      </c>
      <c r="D58" t="s">
        <v>102</v>
      </c>
    </row>
    <row r="59" spans="1:4" x14ac:dyDescent="0.25">
      <c r="A59" t="s">
        <v>68</v>
      </c>
      <c r="B59">
        <v>83.8</v>
      </c>
      <c r="C59">
        <v>567.4</v>
      </c>
      <c r="D59" t="s">
        <v>100</v>
      </c>
    </row>
    <row r="60" spans="1:4" x14ac:dyDescent="0.25">
      <c r="A60" t="s">
        <v>69</v>
      </c>
      <c r="B60">
        <v>99.1</v>
      </c>
      <c r="C60">
        <v>221.7</v>
      </c>
      <c r="D60" t="s">
        <v>106</v>
      </c>
    </row>
    <row r="61" spans="1:4" x14ac:dyDescent="0.25">
      <c r="A61" t="s">
        <v>70</v>
      </c>
      <c r="B61">
        <v>123.1</v>
      </c>
      <c r="C61">
        <v>384.3</v>
      </c>
      <c r="D61" t="s">
        <v>100</v>
      </c>
    </row>
    <row r="62" spans="1:4" x14ac:dyDescent="0.25">
      <c r="A62" t="s">
        <v>71</v>
      </c>
      <c r="B62">
        <v>85.8</v>
      </c>
      <c r="C62">
        <v>136.80000000000001</v>
      </c>
      <c r="D62" t="s">
        <v>101</v>
      </c>
    </row>
    <row r="63" spans="1:4" x14ac:dyDescent="0.25">
      <c r="A63" t="s">
        <v>72</v>
      </c>
      <c r="B63">
        <v>111.1</v>
      </c>
      <c r="C63">
        <v>11.7</v>
      </c>
      <c r="D63" t="s">
        <v>105</v>
      </c>
    </row>
    <row r="64" spans="1:4" x14ac:dyDescent="0.25">
      <c r="A64" t="s">
        <v>73</v>
      </c>
      <c r="B64">
        <v>124.1</v>
      </c>
      <c r="C64">
        <v>481</v>
      </c>
      <c r="D64" t="s">
        <v>104</v>
      </c>
    </row>
    <row r="65" spans="1:4" x14ac:dyDescent="0.25">
      <c r="A65" t="s">
        <v>74</v>
      </c>
      <c r="B65">
        <v>171.2</v>
      </c>
      <c r="C65">
        <v>139.30000000000001</v>
      </c>
      <c r="D65" t="s">
        <v>100</v>
      </c>
    </row>
    <row r="66" spans="1:4" x14ac:dyDescent="0.25">
      <c r="A66" t="s">
        <v>75</v>
      </c>
      <c r="B66">
        <v>166.4</v>
      </c>
      <c r="C66">
        <v>115.8</v>
      </c>
      <c r="D66" t="s">
        <v>103</v>
      </c>
    </row>
    <row r="67" spans="1:4" x14ac:dyDescent="0.25">
      <c r="A67" t="s">
        <v>76</v>
      </c>
      <c r="B67">
        <v>93</v>
      </c>
      <c r="C67">
        <v>183.1</v>
      </c>
      <c r="D67" t="s">
        <v>105</v>
      </c>
    </row>
    <row r="68" spans="1:4" x14ac:dyDescent="0.25">
      <c r="A68" t="s">
        <v>77</v>
      </c>
      <c r="B68">
        <v>122.8</v>
      </c>
      <c r="C68">
        <v>363.3</v>
      </c>
      <c r="D68" t="s">
        <v>104</v>
      </c>
    </row>
    <row r="69" spans="1:4" x14ac:dyDescent="0.25">
      <c r="A69" t="s">
        <v>78</v>
      </c>
      <c r="B69">
        <v>87.2</v>
      </c>
      <c r="C69">
        <v>4.4000000000000004</v>
      </c>
      <c r="D69" t="s">
        <v>102</v>
      </c>
    </row>
    <row r="70" spans="1:4" x14ac:dyDescent="0.25">
      <c r="A70" t="s">
        <v>79</v>
      </c>
      <c r="B70">
        <v>127.1</v>
      </c>
      <c r="C70">
        <v>365.4</v>
      </c>
      <c r="D70" t="s">
        <v>100</v>
      </c>
    </row>
    <row r="71" spans="1:4" x14ac:dyDescent="0.25">
      <c r="A71" t="s">
        <v>80</v>
      </c>
      <c r="B71">
        <v>95.5</v>
      </c>
      <c r="C71">
        <v>518.9</v>
      </c>
      <c r="D71" t="s">
        <v>106</v>
      </c>
    </row>
    <row r="72" spans="1:4" x14ac:dyDescent="0.25">
      <c r="A72" t="s">
        <v>81</v>
      </c>
      <c r="B72">
        <v>95.1</v>
      </c>
      <c r="C72">
        <v>665.7</v>
      </c>
      <c r="D72" t="s">
        <v>104</v>
      </c>
    </row>
    <row r="73" spans="1:4" x14ac:dyDescent="0.25">
      <c r="A73" t="s">
        <v>82</v>
      </c>
      <c r="B73">
        <v>117</v>
      </c>
      <c r="C73">
        <v>33</v>
      </c>
      <c r="D73" t="s">
        <v>105</v>
      </c>
    </row>
    <row r="74" spans="1:4" x14ac:dyDescent="0.25">
      <c r="A74" t="s">
        <v>83</v>
      </c>
      <c r="B74">
        <v>113.7</v>
      </c>
      <c r="C74">
        <v>338.4</v>
      </c>
      <c r="D74" t="s">
        <v>100</v>
      </c>
    </row>
    <row r="75" spans="1:4" x14ac:dyDescent="0.25">
      <c r="A75" t="s">
        <v>85</v>
      </c>
      <c r="B75">
        <v>97.9</v>
      </c>
      <c r="C75">
        <v>34.9</v>
      </c>
      <c r="D75" t="s">
        <v>102</v>
      </c>
    </row>
    <row r="76" spans="1:4" x14ac:dyDescent="0.25">
      <c r="A76" t="s">
        <v>86</v>
      </c>
      <c r="B76">
        <v>123.1</v>
      </c>
      <c r="C76">
        <v>71.2</v>
      </c>
      <c r="D76" t="s">
        <v>102</v>
      </c>
    </row>
    <row r="77" spans="1:4" x14ac:dyDescent="0.25">
      <c r="A77" t="s">
        <v>88</v>
      </c>
      <c r="B77">
        <v>111.7</v>
      </c>
      <c r="C77">
        <v>429.3</v>
      </c>
      <c r="D77" t="s">
        <v>100</v>
      </c>
    </row>
    <row r="78" spans="1:4" x14ac:dyDescent="0.25">
      <c r="A78" t="s">
        <v>89</v>
      </c>
      <c r="B78">
        <v>115.5</v>
      </c>
      <c r="C78">
        <v>110.7</v>
      </c>
      <c r="D78" t="s">
        <v>106</v>
      </c>
    </row>
    <row r="79" spans="1:4" x14ac:dyDescent="0.25">
      <c r="A79" t="s">
        <v>90</v>
      </c>
      <c r="B79">
        <v>86.3</v>
      </c>
      <c r="C79">
        <v>153.4</v>
      </c>
      <c r="D79" t="s">
        <v>104</v>
      </c>
    </row>
    <row r="80" spans="1:4" x14ac:dyDescent="0.25">
      <c r="A80" t="s">
        <v>91</v>
      </c>
      <c r="B80">
        <v>160.4</v>
      </c>
      <c r="C80">
        <v>394.2</v>
      </c>
      <c r="D80" t="s">
        <v>100</v>
      </c>
    </row>
    <row r="81" spans="1:4" x14ac:dyDescent="0.25">
      <c r="A81" t="s">
        <v>92</v>
      </c>
      <c r="B81">
        <v>65.7</v>
      </c>
      <c r="C81">
        <v>331.2</v>
      </c>
      <c r="D81" t="s">
        <v>100</v>
      </c>
    </row>
    <row r="82" spans="1:4" x14ac:dyDescent="0.25">
      <c r="A82" t="s">
        <v>93</v>
      </c>
      <c r="B82">
        <v>82.2</v>
      </c>
      <c r="C82">
        <v>732</v>
      </c>
      <c r="D82" t="s">
        <v>100</v>
      </c>
    </row>
    <row r="83" spans="1:4" x14ac:dyDescent="0.25">
      <c r="A83" t="s">
        <v>94</v>
      </c>
      <c r="B83">
        <v>122.4</v>
      </c>
      <c r="C83">
        <v>84.8</v>
      </c>
      <c r="D83" t="s">
        <v>104</v>
      </c>
    </row>
    <row r="84" spans="1:4" x14ac:dyDescent="0.25">
      <c r="A84" t="s">
        <v>95</v>
      </c>
      <c r="B84">
        <v>67.099999999999994</v>
      </c>
      <c r="C84">
        <v>29.6</v>
      </c>
      <c r="D84" t="s">
        <v>106</v>
      </c>
    </row>
    <row r="85" spans="1:4" x14ac:dyDescent="0.25">
      <c r="A85" t="s">
        <v>96</v>
      </c>
      <c r="B85">
        <v>166.8</v>
      </c>
      <c r="C85">
        <v>37.200000000000003</v>
      </c>
      <c r="D85" t="s">
        <v>102</v>
      </c>
    </row>
    <row r="86" spans="1:4" x14ac:dyDescent="0.25">
      <c r="A86" t="s">
        <v>97</v>
      </c>
      <c r="B86">
        <v>105.4</v>
      </c>
      <c r="C86">
        <v>199.8</v>
      </c>
      <c r="D86" t="s">
        <v>105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zoomScaleNormal="100" zoomScalePageLayoutView="60" workbookViewId="0"/>
  </sheetViews>
  <sheetFormatPr defaultColWidth="11.5703125" defaultRowHeight="15" x14ac:dyDescent="0.25"/>
  <sheetData>
    <row r="1" spans="1:6" x14ac:dyDescent="0.25">
      <c r="A1" t="s">
        <v>1</v>
      </c>
      <c r="B1" t="s">
        <v>2</v>
      </c>
      <c r="C1" t="s">
        <v>4</v>
      </c>
      <c r="D1" t="s">
        <v>5</v>
      </c>
      <c r="E1" t="s">
        <v>6</v>
      </c>
      <c r="F1" t="s">
        <v>99</v>
      </c>
    </row>
    <row r="2" spans="1:6" x14ac:dyDescent="0.25">
      <c r="A2" t="s">
        <v>7</v>
      </c>
      <c r="B2">
        <v>133.30000000000001</v>
      </c>
      <c r="C2">
        <v>72.3</v>
      </c>
      <c r="D2">
        <v>37.200000000000003</v>
      </c>
      <c r="E2">
        <v>287.10000000000002</v>
      </c>
      <c r="F2" t="s">
        <v>100</v>
      </c>
    </row>
    <row r="3" spans="1:6" x14ac:dyDescent="0.25">
      <c r="A3" t="s">
        <v>8</v>
      </c>
      <c r="B3">
        <v>42.5</v>
      </c>
      <c r="C3">
        <v>28.5</v>
      </c>
      <c r="D3">
        <v>74.900000000000006</v>
      </c>
      <c r="E3">
        <v>3.7</v>
      </c>
      <c r="F3" t="s">
        <v>101</v>
      </c>
    </row>
    <row r="4" spans="1:6" x14ac:dyDescent="0.25">
      <c r="A4" t="s">
        <v>9</v>
      </c>
      <c r="B4">
        <v>46.7</v>
      </c>
      <c r="C4">
        <v>25</v>
      </c>
      <c r="D4">
        <v>71.3</v>
      </c>
      <c r="E4">
        <v>1.3</v>
      </c>
      <c r="F4" t="s">
        <v>102</v>
      </c>
    </row>
    <row r="5" spans="1:6" x14ac:dyDescent="0.25">
      <c r="A5" t="s">
        <v>10</v>
      </c>
      <c r="B5">
        <v>95.1</v>
      </c>
      <c r="C5">
        <v>41.9</v>
      </c>
      <c r="D5">
        <v>37.299999999999997</v>
      </c>
      <c r="E5">
        <v>471.7</v>
      </c>
      <c r="F5" t="s">
        <v>103</v>
      </c>
    </row>
    <row r="6" spans="1:6" x14ac:dyDescent="0.25">
      <c r="A6" t="s">
        <v>11</v>
      </c>
      <c r="B6">
        <v>11.1</v>
      </c>
      <c r="C6">
        <v>5.2</v>
      </c>
      <c r="D6">
        <v>52.2</v>
      </c>
      <c r="E6">
        <v>651.70000000000005</v>
      </c>
      <c r="F6" t="s">
        <v>104</v>
      </c>
    </row>
    <row r="7" spans="1:6" x14ac:dyDescent="0.25">
      <c r="A7" t="s">
        <v>12</v>
      </c>
      <c r="B7">
        <v>96.7</v>
      </c>
      <c r="C7">
        <v>59.3</v>
      </c>
      <c r="D7">
        <v>84.1</v>
      </c>
      <c r="E7">
        <v>248.6</v>
      </c>
      <c r="F7" t="s">
        <v>101</v>
      </c>
    </row>
    <row r="8" spans="1:6" x14ac:dyDescent="0.25">
      <c r="A8" t="s">
        <v>16</v>
      </c>
      <c r="B8">
        <v>53.9</v>
      </c>
      <c r="C8">
        <v>43.3</v>
      </c>
      <c r="D8">
        <v>88.4</v>
      </c>
      <c r="E8">
        <v>11.7</v>
      </c>
      <c r="F8" t="s">
        <v>101</v>
      </c>
    </row>
    <row r="9" spans="1:6" x14ac:dyDescent="0.25">
      <c r="A9" t="s">
        <v>17</v>
      </c>
      <c r="B9">
        <v>110.7</v>
      </c>
      <c r="C9">
        <v>59.9</v>
      </c>
      <c r="D9">
        <v>71.400000000000006</v>
      </c>
      <c r="E9">
        <v>12.8</v>
      </c>
      <c r="F9" t="s">
        <v>102</v>
      </c>
    </row>
    <row r="10" spans="1:6" x14ac:dyDescent="0.25">
      <c r="A10" t="s">
        <v>18</v>
      </c>
      <c r="B10">
        <v>88.1</v>
      </c>
      <c r="C10">
        <v>49.5</v>
      </c>
      <c r="D10">
        <v>59.7</v>
      </c>
      <c r="E10">
        <v>262.60000000000002</v>
      </c>
      <c r="F10" t="s">
        <v>103</v>
      </c>
    </row>
    <row r="11" spans="1:6" x14ac:dyDescent="0.25">
      <c r="A11" t="s">
        <v>19</v>
      </c>
      <c r="B11">
        <v>112.8</v>
      </c>
      <c r="C11">
        <v>54</v>
      </c>
      <c r="D11">
        <v>41.9</v>
      </c>
      <c r="E11">
        <v>269.60000000000002</v>
      </c>
      <c r="F11" t="s">
        <v>103</v>
      </c>
    </row>
    <row r="12" spans="1:6" x14ac:dyDescent="0.25">
      <c r="A12" t="s">
        <v>20</v>
      </c>
      <c r="B12">
        <v>176.8</v>
      </c>
      <c r="C12">
        <v>106.2</v>
      </c>
      <c r="D12">
        <v>72.8</v>
      </c>
      <c r="E12">
        <v>93.2</v>
      </c>
      <c r="F12" t="s">
        <v>101</v>
      </c>
    </row>
    <row r="13" spans="1:6" x14ac:dyDescent="0.25">
      <c r="A13" t="s">
        <v>21</v>
      </c>
      <c r="B13">
        <v>108.6</v>
      </c>
      <c r="C13">
        <v>67</v>
      </c>
      <c r="D13">
        <v>53.9</v>
      </c>
      <c r="E13">
        <v>413.1</v>
      </c>
      <c r="F13" t="s">
        <v>100</v>
      </c>
    </row>
    <row r="14" spans="1:6" x14ac:dyDescent="0.25">
      <c r="A14" t="s">
        <v>22</v>
      </c>
      <c r="B14">
        <v>49.4</v>
      </c>
      <c r="C14">
        <v>24.9</v>
      </c>
      <c r="D14">
        <v>54.5</v>
      </c>
      <c r="E14">
        <v>25.6</v>
      </c>
      <c r="F14" t="s">
        <v>105</v>
      </c>
    </row>
    <row r="15" spans="1:6" x14ac:dyDescent="0.25">
      <c r="A15" t="s">
        <v>23</v>
      </c>
      <c r="B15">
        <v>108.4</v>
      </c>
      <c r="C15">
        <v>71.3</v>
      </c>
      <c r="D15">
        <v>60.7</v>
      </c>
      <c r="E15">
        <v>257.5</v>
      </c>
      <c r="F15" t="s">
        <v>100</v>
      </c>
    </row>
    <row r="16" spans="1:6" x14ac:dyDescent="0.25">
      <c r="A16" t="s">
        <v>24</v>
      </c>
      <c r="B16">
        <v>104.1</v>
      </c>
      <c r="C16">
        <v>75.7</v>
      </c>
      <c r="D16">
        <v>39.299999999999997</v>
      </c>
      <c r="E16">
        <v>299.2</v>
      </c>
      <c r="F16" t="s">
        <v>100</v>
      </c>
    </row>
    <row r="17" spans="1:6" x14ac:dyDescent="0.25">
      <c r="A17" t="s">
        <v>25</v>
      </c>
      <c r="B17">
        <v>118.1</v>
      </c>
      <c r="C17">
        <v>53.1</v>
      </c>
      <c r="D17">
        <v>65</v>
      </c>
      <c r="E17">
        <v>280.7</v>
      </c>
      <c r="F17" t="s">
        <v>104</v>
      </c>
    </row>
    <row r="18" spans="1:6" x14ac:dyDescent="0.25">
      <c r="A18" t="s">
        <v>26</v>
      </c>
      <c r="B18">
        <v>116.4</v>
      </c>
      <c r="C18">
        <v>53</v>
      </c>
      <c r="D18">
        <v>43.4</v>
      </c>
      <c r="E18">
        <v>336.6</v>
      </c>
      <c r="F18" t="s">
        <v>100</v>
      </c>
    </row>
    <row r="19" spans="1:6" x14ac:dyDescent="0.25">
      <c r="A19" t="s">
        <v>27</v>
      </c>
      <c r="B19">
        <v>125.8</v>
      </c>
      <c r="C19">
        <v>50.2</v>
      </c>
      <c r="D19">
        <v>74.8</v>
      </c>
      <c r="E19">
        <v>1213.5</v>
      </c>
      <c r="F19" t="s">
        <v>104</v>
      </c>
    </row>
    <row r="20" spans="1:6" x14ac:dyDescent="0.25">
      <c r="A20" t="s">
        <v>28</v>
      </c>
      <c r="B20">
        <v>52.5</v>
      </c>
      <c r="C20">
        <v>39.5</v>
      </c>
      <c r="D20">
        <v>52</v>
      </c>
      <c r="E20">
        <v>129.80000000000001</v>
      </c>
      <c r="F20" t="s">
        <v>101</v>
      </c>
    </row>
    <row r="21" spans="1:6" x14ac:dyDescent="0.25">
      <c r="A21" t="s">
        <v>29</v>
      </c>
      <c r="B21">
        <v>73.8</v>
      </c>
      <c r="C21">
        <v>45.5</v>
      </c>
      <c r="D21">
        <v>60.1</v>
      </c>
      <c r="E21">
        <v>33.200000000000003</v>
      </c>
      <c r="F21" t="s">
        <v>102</v>
      </c>
    </row>
    <row r="22" spans="1:6" x14ac:dyDescent="0.25">
      <c r="A22" t="s">
        <v>30</v>
      </c>
      <c r="B22">
        <v>114.5</v>
      </c>
      <c r="C22">
        <v>63.4</v>
      </c>
      <c r="D22">
        <v>43.5</v>
      </c>
      <c r="E22">
        <v>181.7</v>
      </c>
      <c r="F22" t="s">
        <v>103</v>
      </c>
    </row>
    <row r="23" spans="1:6" x14ac:dyDescent="0.25">
      <c r="A23" t="s">
        <v>31</v>
      </c>
      <c r="B23">
        <v>89.6</v>
      </c>
      <c r="C23">
        <v>37</v>
      </c>
      <c r="D23">
        <v>70.7</v>
      </c>
      <c r="E23">
        <v>2542.4</v>
      </c>
      <c r="F23" t="s">
        <v>106</v>
      </c>
    </row>
    <row r="24" spans="1:6" x14ac:dyDescent="0.25">
      <c r="A24" t="s">
        <v>32</v>
      </c>
      <c r="B24">
        <v>104.8</v>
      </c>
      <c r="C24">
        <v>58</v>
      </c>
      <c r="D24">
        <v>59</v>
      </c>
      <c r="E24">
        <v>352.1</v>
      </c>
      <c r="F24" t="s">
        <v>103</v>
      </c>
    </row>
    <row r="25" spans="1:6" x14ac:dyDescent="0.25">
      <c r="A25" t="s">
        <v>33</v>
      </c>
      <c r="B25">
        <v>109.6</v>
      </c>
      <c r="C25">
        <v>84.5</v>
      </c>
      <c r="D25">
        <v>38.1</v>
      </c>
      <c r="E25">
        <v>284.8</v>
      </c>
      <c r="F25" t="s">
        <v>100</v>
      </c>
    </row>
    <row r="26" spans="1:6" x14ac:dyDescent="0.25">
      <c r="A26" t="s">
        <v>34</v>
      </c>
      <c r="B26">
        <v>76.599999999999994</v>
      </c>
      <c r="C26">
        <v>42.2</v>
      </c>
      <c r="D26">
        <v>59.3</v>
      </c>
      <c r="E26">
        <v>272.8</v>
      </c>
      <c r="F26" t="s">
        <v>104</v>
      </c>
    </row>
    <row r="27" spans="1:6" x14ac:dyDescent="0.25">
      <c r="A27" t="s">
        <v>35</v>
      </c>
      <c r="B27">
        <v>82.9</v>
      </c>
      <c r="C27">
        <v>57.9</v>
      </c>
      <c r="D27">
        <v>63.4</v>
      </c>
      <c r="E27">
        <v>94.6</v>
      </c>
      <c r="F27" t="s">
        <v>105</v>
      </c>
    </row>
    <row r="28" spans="1:6" x14ac:dyDescent="0.25">
      <c r="A28" t="s">
        <v>36</v>
      </c>
      <c r="B28">
        <v>265.10000000000002</v>
      </c>
      <c r="C28">
        <v>88.3</v>
      </c>
      <c r="D28">
        <v>43.2</v>
      </c>
      <c r="E28">
        <v>22.2</v>
      </c>
      <c r="F28" t="s">
        <v>105</v>
      </c>
    </row>
    <row r="29" spans="1:6" x14ac:dyDescent="0.25">
      <c r="A29" t="s">
        <v>37</v>
      </c>
      <c r="B29">
        <v>97</v>
      </c>
      <c r="C29">
        <v>45</v>
      </c>
      <c r="D29">
        <v>65.2</v>
      </c>
      <c r="E29">
        <v>476</v>
      </c>
      <c r="F29" t="s">
        <v>103</v>
      </c>
    </row>
    <row r="30" spans="1:6" x14ac:dyDescent="0.25">
      <c r="A30" t="s">
        <v>38</v>
      </c>
      <c r="B30">
        <v>131.5</v>
      </c>
      <c r="C30">
        <v>80.900000000000006</v>
      </c>
      <c r="D30">
        <v>45.9</v>
      </c>
      <c r="E30">
        <v>716.9</v>
      </c>
      <c r="F30" t="s">
        <v>104</v>
      </c>
    </row>
    <row r="31" spans="1:6" x14ac:dyDescent="0.25">
      <c r="A31" t="s">
        <v>39</v>
      </c>
      <c r="B31">
        <v>107.1</v>
      </c>
      <c r="C31">
        <v>48.7</v>
      </c>
      <c r="D31">
        <v>45</v>
      </c>
      <c r="E31">
        <v>4.0999999999999996</v>
      </c>
      <c r="F31" t="s">
        <v>102</v>
      </c>
    </row>
    <row r="32" spans="1:6" x14ac:dyDescent="0.25">
      <c r="A32" t="s">
        <v>40</v>
      </c>
      <c r="B32">
        <v>77.400000000000006</v>
      </c>
      <c r="C32">
        <v>46</v>
      </c>
      <c r="D32">
        <v>41.1</v>
      </c>
      <c r="E32">
        <v>305</v>
      </c>
      <c r="F32" t="s">
        <v>103</v>
      </c>
    </row>
    <row r="33" spans="1:6" x14ac:dyDescent="0.25">
      <c r="A33" t="s">
        <v>41</v>
      </c>
      <c r="B33">
        <v>141.69999999999999</v>
      </c>
      <c r="C33">
        <v>60.9</v>
      </c>
      <c r="D33">
        <v>30.9</v>
      </c>
      <c r="E33">
        <v>226.1</v>
      </c>
      <c r="F33" t="s">
        <v>103</v>
      </c>
    </row>
    <row r="34" spans="1:6" x14ac:dyDescent="0.25">
      <c r="A34" t="s">
        <v>42</v>
      </c>
      <c r="B34">
        <v>98.4</v>
      </c>
      <c r="C34">
        <v>37.299999999999997</v>
      </c>
      <c r="D34">
        <v>41.2</v>
      </c>
      <c r="E34">
        <v>511.7</v>
      </c>
      <c r="F34" t="s">
        <v>104</v>
      </c>
    </row>
    <row r="35" spans="1:6" x14ac:dyDescent="0.25">
      <c r="A35" t="s">
        <v>43</v>
      </c>
      <c r="B35">
        <v>122.9</v>
      </c>
      <c r="C35">
        <v>68.400000000000006</v>
      </c>
      <c r="D35">
        <v>44.1</v>
      </c>
      <c r="E35">
        <v>16.5</v>
      </c>
      <c r="F35" t="s">
        <v>106</v>
      </c>
    </row>
    <row r="36" spans="1:6" x14ac:dyDescent="0.25">
      <c r="A36" t="s">
        <v>44</v>
      </c>
      <c r="B36">
        <v>92.7</v>
      </c>
      <c r="C36">
        <v>73.099999999999994</v>
      </c>
      <c r="D36">
        <v>50</v>
      </c>
      <c r="E36">
        <v>48.1</v>
      </c>
      <c r="F36" t="s">
        <v>106</v>
      </c>
    </row>
    <row r="37" spans="1:6" x14ac:dyDescent="0.25">
      <c r="A37" t="s">
        <v>45</v>
      </c>
      <c r="B37">
        <v>219.4</v>
      </c>
      <c r="C37">
        <v>150.69999999999999</v>
      </c>
      <c r="D37">
        <v>47</v>
      </c>
      <c r="E37">
        <v>51.3</v>
      </c>
      <c r="F37" t="s">
        <v>104</v>
      </c>
    </row>
    <row r="38" spans="1:6" x14ac:dyDescent="0.25">
      <c r="A38" t="s">
        <v>46</v>
      </c>
      <c r="B38">
        <v>65.599999999999994</v>
      </c>
      <c r="C38">
        <v>26.6</v>
      </c>
      <c r="D38">
        <v>82.8</v>
      </c>
      <c r="E38">
        <v>1024.5</v>
      </c>
      <c r="F38" t="s">
        <v>104</v>
      </c>
    </row>
    <row r="39" spans="1:6" x14ac:dyDescent="0.25">
      <c r="A39" t="s">
        <v>47</v>
      </c>
      <c r="B39">
        <v>89.3</v>
      </c>
      <c r="C39">
        <v>38.9</v>
      </c>
      <c r="D39">
        <v>74.2</v>
      </c>
      <c r="E39">
        <v>477.5</v>
      </c>
      <c r="F39" t="s">
        <v>104</v>
      </c>
    </row>
    <row r="40" spans="1:6" x14ac:dyDescent="0.25">
      <c r="A40" t="s">
        <v>48</v>
      </c>
      <c r="B40">
        <v>116.8</v>
      </c>
      <c r="C40">
        <v>60.6</v>
      </c>
      <c r="D40">
        <v>46.7</v>
      </c>
      <c r="E40">
        <v>27.3</v>
      </c>
      <c r="F40" t="s">
        <v>105</v>
      </c>
    </row>
    <row r="41" spans="1:6" x14ac:dyDescent="0.25">
      <c r="A41" t="s">
        <v>49</v>
      </c>
      <c r="B41">
        <v>65.5</v>
      </c>
      <c r="C41">
        <v>42.2</v>
      </c>
      <c r="D41">
        <v>67.099999999999994</v>
      </c>
      <c r="E41">
        <v>325.10000000000002</v>
      </c>
      <c r="F41" t="s">
        <v>103</v>
      </c>
    </row>
    <row r="42" spans="1:6" x14ac:dyDescent="0.25">
      <c r="A42" t="s">
        <v>50</v>
      </c>
      <c r="B42">
        <v>148.5</v>
      </c>
      <c r="C42">
        <v>94.9</v>
      </c>
      <c r="D42">
        <v>38</v>
      </c>
      <c r="E42">
        <v>49.9</v>
      </c>
      <c r="F42" t="s">
        <v>105</v>
      </c>
    </row>
    <row r="43" spans="1:6" x14ac:dyDescent="0.25">
      <c r="A43" t="s">
        <v>51</v>
      </c>
      <c r="B43">
        <v>77</v>
      </c>
      <c r="C43">
        <v>49.5</v>
      </c>
      <c r="D43">
        <v>77.099999999999994</v>
      </c>
      <c r="E43">
        <v>578.79999999999995</v>
      </c>
      <c r="F43" t="s">
        <v>104</v>
      </c>
    </row>
    <row r="44" spans="1:6" x14ac:dyDescent="0.25">
      <c r="A44" t="s">
        <v>52</v>
      </c>
      <c r="B44">
        <v>120.5</v>
      </c>
      <c r="C44">
        <v>91.4</v>
      </c>
      <c r="D44">
        <v>46.8</v>
      </c>
      <c r="E44">
        <v>312.60000000000002</v>
      </c>
      <c r="F44" t="s">
        <v>106</v>
      </c>
    </row>
    <row r="45" spans="1:6" x14ac:dyDescent="0.25">
      <c r="A45" t="s">
        <v>53</v>
      </c>
      <c r="B45">
        <v>104.4</v>
      </c>
      <c r="C45">
        <v>85.3</v>
      </c>
      <c r="D45">
        <v>61.8</v>
      </c>
      <c r="E45">
        <v>93.7</v>
      </c>
      <c r="F45" t="s">
        <v>102</v>
      </c>
    </row>
    <row r="46" spans="1:6" x14ac:dyDescent="0.25">
      <c r="A46" t="s">
        <v>54</v>
      </c>
      <c r="B46">
        <v>74.2</v>
      </c>
      <c r="C46">
        <v>44.6</v>
      </c>
      <c r="D46">
        <v>64.5</v>
      </c>
      <c r="E46">
        <v>146.9</v>
      </c>
      <c r="F46" t="s">
        <v>103</v>
      </c>
    </row>
    <row r="47" spans="1:6" x14ac:dyDescent="0.25">
      <c r="A47" t="s">
        <v>55</v>
      </c>
      <c r="B47">
        <v>143.19999999999999</v>
      </c>
      <c r="C47">
        <v>84.1</v>
      </c>
      <c r="D47">
        <v>61.4</v>
      </c>
      <c r="E47">
        <v>279</v>
      </c>
      <c r="F47" t="s">
        <v>103</v>
      </c>
    </row>
    <row r="48" spans="1:6" x14ac:dyDescent="0.25">
      <c r="A48" t="s">
        <v>56</v>
      </c>
      <c r="B48">
        <v>85.3</v>
      </c>
      <c r="C48">
        <v>56.3</v>
      </c>
      <c r="D48">
        <v>50.9</v>
      </c>
      <c r="E48">
        <v>409.4</v>
      </c>
      <c r="F48" t="s">
        <v>100</v>
      </c>
    </row>
    <row r="49" spans="1:6" x14ac:dyDescent="0.25">
      <c r="A49" t="s">
        <v>57</v>
      </c>
      <c r="B49">
        <v>54.2</v>
      </c>
      <c r="C49">
        <v>44.3</v>
      </c>
      <c r="D49">
        <v>53.3</v>
      </c>
      <c r="E49">
        <v>164.6</v>
      </c>
      <c r="F49" t="s">
        <v>103</v>
      </c>
    </row>
    <row r="50" spans="1:6" x14ac:dyDescent="0.25">
      <c r="A50" t="s">
        <v>58</v>
      </c>
      <c r="B50">
        <v>188.8</v>
      </c>
      <c r="C50">
        <v>82.9</v>
      </c>
      <c r="D50">
        <v>45.1</v>
      </c>
      <c r="E50">
        <v>100.2</v>
      </c>
      <c r="F50" t="s">
        <v>105</v>
      </c>
    </row>
    <row r="51" spans="1:6" x14ac:dyDescent="0.25">
      <c r="A51" t="s">
        <v>59</v>
      </c>
      <c r="B51">
        <v>88.9</v>
      </c>
      <c r="C51">
        <v>50.5</v>
      </c>
      <c r="D51">
        <v>53.3</v>
      </c>
      <c r="E51">
        <v>113</v>
      </c>
      <c r="F51" t="s">
        <v>105</v>
      </c>
    </row>
    <row r="52" spans="1:6" x14ac:dyDescent="0.25">
      <c r="A52" t="s">
        <v>60</v>
      </c>
      <c r="B52">
        <v>109.1</v>
      </c>
      <c r="C52">
        <v>66.099999999999994</v>
      </c>
      <c r="D52">
        <v>56.1</v>
      </c>
      <c r="E52">
        <v>200.8</v>
      </c>
      <c r="F52" t="s">
        <v>106</v>
      </c>
    </row>
    <row r="53" spans="1:6" x14ac:dyDescent="0.25">
      <c r="A53" t="s">
        <v>61</v>
      </c>
      <c r="B53">
        <v>120.3</v>
      </c>
      <c r="C53">
        <v>80.2</v>
      </c>
      <c r="D53">
        <v>44.9</v>
      </c>
      <c r="E53">
        <v>314.60000000000002</v>
      </c>
      <c r="F53" t="s">
        <v>103</v>
      </c>
    </row>
    <row r="54" spans="1:6" x14ac:dyDescent="0.25">
      <c r="A54" t="s">
        <v>62</v>
      </c>
      <c r="B54">
        <v>66.7</v>
      </c>
      <c r="C54">
        <v>28.4</v>
      </c>
      <c r="D54">
        <v>62.6</v>
      </c>
      <c r="E54">
        <v>1.9</v>
      </c>
      <c r="F54" t="s">
        <v>106</v>
      </c>
    </row>
    <row r="55" spans="1:6" x14ac:dyDescent="0.25">
      <c r="A55" t="s">
        <v>63</v>
      </c>
      <c r="B55">
        <v>81.599999999999994</v>
      </c>
      <c r="C55">
        <v>56.8</v>
      </c>
      <c r="D55">
        <v>57.5</v>
      </c>
      <c r="E55">
        <v>24.2</v>
      </c>
      <c r="F55" t="s">
        <v>106</v>
      </c>
    </row>
    <row r="56" spans="1:6" x14ac:dyDescent="0.25">
      <c r="A56" t="s">
        <v>64</v>
      </c>
      <c r="B56">
        <v>49.2</v>
      </c>
      <c r="C56">
        <v>24.6</v>
      </c>
      <c r="D56">
        <v>73.900000000000006</v>
      </c>
      <c r="E56">
        <v>848.8</v>
      </c>
      <c r="F56" t="s">
        <v>100</v>
      </c>
    </row>
    <row r="57" spans="1:6" x14ac:dyDescent="0.25">
      <c r="A57" t="s">
        <v>65</v>
      </c>
      <c r="B57">
        <v>82.5</v>
      </c>
      <c r="C57">
        <v>34</v>
      </c>
      <c r="D57">
        <v>97.6</v>
      </c>
      <c r="E57">
        <v>2521.6</v>
      </c>
      <c r="F57" t="s">
        <v>100</v>
      </c>
    </row>
    <row r="58" spans="1:6" x14ac:dyDescent="0.25">
      <c r="A58" t="s">
        <v>66</v>
      </c>
      <c r="B58">
        <v>89.9</v>
      </c>
      <c r="C58">
        <v>78</v>
      </c>
      <c r="D58">
        <v>37.299999999999997</v>
      </c>
      <c r="E58">
        <v>5.6</v>
      </c>
      <c r="F58" t="s">
        <v>102</v>
      </c>
    </row>
    <row r="59" spans="1:6" x14ac:dyDescent="0.25">
      <c r="A59" t="s">
        <v>68</v>
      </c>
      <c r="B59">
        <v>83.8</v>
      </c>
      <c r="C59">
        <v>62.4</v>
      </c>
      <c r="D59">
        <v>62.8</v>
      </c>
      <c r="E59">
        <v>567.4</v>
      </c>
      <c r="F59" t="s">
        <v>100</v>
      </c>
    </row>
    <row r="60" spans="1:6" x14ac:dyDescent="0.25">
      <c r="A60" t="s">
        <v>69</v>
      </c>
      <c r="B60">
        <v>99.1</v>
      </c>
      <c r="C60">
        <v>48.1</v>
      </c>
      <c r="D60">
        <v>58.7</v>
      </c>
      <c r="E60">
        <v>221.7</v>
      </c>
      <c r="F60" t="s">
        <v>106</v>
      </c>
    </row>
    <row r="61" spans="1:6" x14ac:dyDescent="0.25">
      <c r="A61" t="s">
        <v>70</v>
      </c>
      <c r="B61">
        <v>123.1</v>
      </c>
      <c r="C61">
        <v>69.400000000000006</v>
      </c>
      <c r="D61">
        <v>46.5</v>
      </c>
      <c r="E61">
        <v>384.3</v>
      </c>
      <c r="F61" t="s">
        <v>100</v>
      </c>
    </row>
    <row r="62" spans="1:6" x14ac:dyDescent="0.25">
      <c r="A62" t="s">
        <v>71</v>
      </c>
      <c r="B62">
        <v>85.8</v>
      </c>
      <c r="C62">
        <v>57.4</v>
      </c>
      <c r="D62">
        <v>57.2</v>
      </c>
      <c r="E62">
        <v>136.80000000000001</v>
      </c>
      <c r="F62" t="s">
        <v>101</v>
      </c>
    </row>
    <row r="63" spans="1:6" x14ac:dyDescent="0.25">
      <c r="A63" t="s">
        <v>72</v>
      </c>
      <c r="B63">
        <v>111.1</v>
      </c>
      <c r="C63">
        <v>57.4</v>
      </c>
      <c r="D63">
        <v>64</v>
      </c>
      <c r="E63">
        <v>11.7</v>
      </c>
      <c r="F63" t="s">
        <v>105</v>
      </c>
    </row>
    <row r="64" spans="1:6" x14ac:dyDescent="0.25">
      <c r="A64" t="s">
        <v>73</v>
      </c>
      <c r="B64">
        <v>124.1</v>
      </c>
      <c r="C64">
        <v>61.3</v>
      </c>
      <c r="D64">
        <v>84.4</v>
      </c>
      <c r="E64">
        <v>481</v>
      </c>
      <c r="F64" t="s">
        <v>104</v>
      </c>
    </row>
    <row r="65" spans="1:6" x14ac:dyDescent="0.25">
      <c r="A65" t="s">
        <v>74</v>
      </c>
      <c r="B65">
        <v>171.2</v>
      </c>
      <c r="C65">
        <v>91.5</v>
      </c>
      <c r="D65">
        <v>48.3</v>
      </c>
      <c r="E65">
        <v>139.30000000000001</v>
      </c>
      <c r="F65" t="s">
        <v>100</v>
      </c>
    </row>
    <row r="66" spans="1:6" x14ac:dyDescent="0.25">
      <c r="A66" t="s">
        <v>75</v>
      </c>
      <c r="B66">
        <v>166.4</v>
      </c>
      <c r="C66">
        <v>79.5</v>
      </c>
      <c r="D66">
        <v>26.3</v>
      </c>
      <c r="E66">
        <v>115.8</v>
      </c>
      <c r="F66" t="s">
        <v>103</v>
      </c>
    </row>
    <row r="67" spans="1:6" x14ac:dyDescent="0.25">
      <c r="A67" t="s">
        <v>76</v>
      </c>
      <c r="B67">
        <v>93</v>
      </c>
      <c r="C67">
        <v>58.9</v>
      </c>
      <c r="D67">
        <v>71.2</v>
      </c>
      <c r="E67">
        <v>183.1</v>
      </c>
      <c r="F67" t="s">
        <v>105</v>
      </c>
    </row>
    <row r="68" spans="1:6" x14ac:dyDescent="0.25">
      <c r="A68" t="s">
        <v>77</v>
      </c>
      <c r="B68">
        <v>122.8</v>
      </c>
      <c r="C68">
        <v>50.2</v>
      </c>
      <c r="D68">
        <v>45.4</v>
      </c>
      <c r="E68">
        <v>363.3</v>
      </c>
      <c r="F68" t="s">
        <v>104</v>
      </c>
    </row>
    <row r="69" spans="1:6" x14ac:dyDescent="0.25">
      <c r="A69" t="s">
        <v>78</v>
      </c>
      <c r="B69">
        <v>87.2</v>
      </c>
      <c r="C69">
        <v>81</v>
      </c>
      <c r="D69">
        <v>53.4</v>
      </c>
      <c r="E69">
        <v>4.4000000000000004</v>
      </c>
      <c r="F69" t="s">
        <v>102</v>
      </c>
    </row>
    <row r="70" spans="1:6" x14ac:dyDescent="0.25">
      <c r="A70" t="s">
        <v>79</v>
      </c>
      <c r="B70">
        <v>127.1</v>
      </c>
      <c r="C70">
        <v>62</v>
      </c>
      <c r="D70">
        <v>51.4</v>
      </c>
      <c r="E70">
        <v>365.4</v>
      </c>
      <c r="F70" t="s">
        <v>100</v>
      </c>
    </row>
    <row r="71" spans="1:6" x14ac:dyDescent="0.25">
      <c r="A71" t="s">
        <v>80</v>
      </c>
      <c r="B71">
        <v>95.5</v>
      </c>
      <c r="C71">
        <v>59.8</v>
      </c>
      <c r="D71">
        <v>59.8</v>
      </c>
      <c r="E71">
        <v>518.9</v>
      </c>
      <c r="F71" t="s">
        <v>106</v>
      </c>
    </row>
    <row r="72" spans="1:6" x14ac:dyDescent="0.25">
      <c r="A72" t="s">
        <v>81</v>
      </c>
      <c r="B72">
        <v>95.1</v>
      </c>
      <c r="C72">
        <v>44.2</v>
      </c>
      <c r="D72">
        <v>62.4</v>
      </c>
      <c r="E72">
        <v>665.7</v>
      </c>
      <c r="F72" t="s">
        <v>104</v>
      </c>
    </row>
    <row r="73" spans="1:6" x14ac:dyDescent="0.25">
      <c r="A73" t="s">
        <v>82</v>
      </c>
      <c r="B73">
        <v>117</v>
      </c>
      <c r="C73">
        <v>54.8</v>
      </c>
      <c r="D73">
        <v>44.6</v>
      </c>
      <c r="E73">
        <v>33</v>
      </c>
      <c r="F73" t="s">
        <v>105</v>
      </c>
    </row>
    <row r="74" spans="1:6" x14ac:dyDescent="0.25">
      <c r="A74" t="s">
        <v>83</v>
      </c>
      <c r="B74">
        <v>113.7</v>
      </c>
      <c r="C74">
        <v>72.3</v>
      </c>
      <c r="D74">
        <v>57.3</v>
      </c>
      <c r="E74">
        <v>338.4</v>
      </c>
      <c r="F74" t="s">
        <v>100</v>
      </c>
    </row>
    <row r="75" spans="1:6" x14ac:dyDescent="0.25">
      <c r="A75" t="s">
        <v>85</v>
      </c>
      <c r="B75">
        <v>97.9</v>
      </c>
      <c r="C75">
        <v>53.7</v>
      </c>
      <c r="D75">
        <v>46.1</v>
      </c>
      <c r="E75">
        <v>34.9</v>
      </c>
      <c r="F75" t="s">
        <v>102</v>
      </c>
    </row>
    <row r="76" spans="1:6" x14ac:dyDescent="0.25">
      <c r="A76" t="s">
        <v>86</v>
      </c>
      <c r="B76">
        <v>123.1</v>
      </c>
      <c r="C76">
        <v>67.2</v>
      </c>
      <c r="D76">
        <v>41.4</v>
      </c>
      <c r="E76">
        <v>71.2</v>
      </c>
      <c r="F76" t="s">
        <v>102</v>
      </c>
    </row>
    <row r="77" spans="1:6" x14ac:dyDescent="0.25">
      <c r="A77" t="s">
        <v>88</v>
      </c>
      <c r="B77">
        <v>111.7</v>
      </c>
      <c r="C77">
        <v>68.7</v>
      </c>
      <c r="D77">
        <v>56.7</v>
      </c>
      <c r="E77">
        <v>429.3</v>
      </c>
      <c r="F77" t="s">
        <v>100</v>
      </c>
    </row>
    <row r="78" spans="1:6" x14ac:dyDescent="0.25">
      <c r="A78" t="s">
        <v>89</v>
      </c>
      <c r="B78">
        <v>115.5</v>
      </c>
      <c r="C78">
        <v>66.599999999999994</v>
      </c>
      <c r="D78">
        <v>42.9</v>
      </c>
      <c r="E78">
        <v>110.7</v>
      </c>
      <c r="F78" t="s">
        <v>106</v>
      </c>
    </row>
    <row r="79" spans="1:6" x14ac:dyDescent="0.25">
      <c r="A79" t="s">
        <v>90</v>
      </c>
      <c r="B79">
        <v>86.3</v>
      </c>
      <c r="C79">
        <v>58.1</v>
      </c>
      <c r="D79">
        <v>29.7</v>
      </c>
      <c r="E79">
        <v>153.4</v>
      </c>
      <c r="F79" t="s">
        <v>104</v>
      </c>
    </row>
    <row r="80" spans="1:6" x14ac:dyDescent="0.25">
      <c r="A80" t="s">
        <v>91</v>
      </c>
      <c r="B80">
        <v>160.4</v>
      </c>
      <c r="C80">
        <v>84.5</v>
      </c>
      <c r="D80">
        <v>43.5</v>
      </c>
      <c r="E80">
        <v>394.2</v>
      </c>
      <c r="F80" t="s">
        <v>100</v>
      </c>
    </row>
    <row r="81" spans="1:6" x14ac:dyDescent="0.25">
      <c r="A81" t="s">
        <v>92</v>
      </c>
      <c r="B81">
        <v>65.7</v>
      </c>
      <c r="C81">
        <v>23.8</v>
      </c>
      <c r="D81">
        <v>49.4</v>
      </c>
      <c r="E81">
        <v>331.2</v>
      </c>
      <c r="F81" t="s">
        <v>100</v>
      </c>
    </row>
    <row r="82" spans="1:6" x14ac:dyDescent="0.25">
      <c r="A82" t="s">
        <v>93</v>
      </c>
      <c r="B82">
        <v>82.2</v>
      </c>
      <c r="C82">
        <v>51.6</v>
      </c>
      <c r="D82">
        <v>77.3</v>
      </c>
      <c r="E82">
        <v>732</v>
      </c>
      <c r="F82" t="s">
        <v>100</v>
      </c>
    </row>
    <row r="83" spans="1:6" x14ac:dyDescent="0.25">
      <c r="A83" t="s">
        <v>94</v>
      </c>
      <c r="B83">
        <v>122.4</v>
      </c>
      <c r="C83">
        <v>57.6</v>
      </c>
      <c r="D83">
        <v>39.9</v>
      </c>
      <c r="E83">
        <v>84.8</v>
      </c>
      <c r="F83" t="s">
        <v>104</v>
      </c>
    </row>
    <row r="84" spans="1:6" x14ac:dyDescent="0.25">
      <c r="A84" t="s">
        <v>95</v>
      </c>
      <c r="B84">
        <v>67.099999999999994</v>
      </c>
      <c r="C84">
        <v>36.700000000000003</v>
      </c>
      <c r="D84">
        <v>15.7</v>
      </c>
      <c r="E84">
        <v>29.6</v>
      </c>
      <c r="F84" t="s">
        <v>106</v>
      </c>
    </row>
    <row r="85" spans="1:6" x14ac:dyDescent="0.25">
      <c r="A85" t="s">
        <v>96</v>
      </c>
      <c r="B85">
        <v>166.8</v>
      </c>
      <c r="C85">
        <v>98.9</v>
      </c>
      <c r="D85">
        <v>33.5</v>
      </c>
      <c r="E85">
        <v>37.200000000000003</v>
      </c>
      <c r="F85" t="s">
        <v>102</v>
      </c>
    </row>
    <row r="86" spans="1:6" x14ac:dyDescent="0.25">
      <c r="A86" t="s">
        <v>97</v>
      </c>
      <c r="B86">
        <v>105.4</v>
      </c>
      <c r="C86">
        <v>65.7</v>
      </c>
      <c r="D86">
        <v>36.299999999999997</v>
      </c>
      <c r="E86">
        <v>199.8</v>
      </c>
      <c r="F86" t="s">
        <v>105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zoomScaleNormal="100" zoomScalePageLayoutView="60" workbookViewId="0"/>
  </sheetViews>
  <sheetFormatPr defaultColWidth="11.5703125" defaultRowHeight="15" x14ac:dyDescent="0.25"/>
  <sheetData>
    <row r="1" spans="1:6" x14ac:dyDescent="0.25">
      <c r="A1" t="s">
        <v>1</v>
      </c>
      <c r="B1" t="s">
        <v>2</v>
      </c>
      <c r="C1" t="s">
        <v>4</v>
      </c>
      <c r="D1" t="s">
        <v>5</v>
      </c>
      <c r="E1" t="s">
        <v>6</v>
      </c>
      <c r="F1" t="s">
        <v>99</v>
      </c>
    </row>
    <row r="2" spans="1:6" x14ac:dyDescent="0.25">
      <c r="A2" t="s">
        <v>7</v>
      </c>
      <c r="B2">
        <v>133.30000000000001</v>
      </c>
      <c r="C2">
        <v>72.3</v>
      </c>
      <c r="D2">
        <v>37.200000000000003</v>
      </c>
      <c r="E2">
        <v>287.10000000000002</v>
      </c>
      <c r="F2" t="s">
        <v>100</v>
      </c>
    </row>
    <row r="3" spans="1:6" x14ac:dyDescent="0.25">
      <c r="A3" t="s">
        <v>8</v>
      </c>
      <c r="B3">
        <v>42.5</v>
      </c>
      <c r="C3">
        <v>28.5</v>
      </c>
      <c r="D3">
        <v>74.900000000000006</v>
      </c>
      <c r="E3">
        <v>3.7</v>
      </c>
      <c r="F3" t="s">
        <v>101</v>
      </c>
    </row>
    <row r="4" spans="1:6" x14ac:dyDescent="0.25">
      <c r="A4" t="s">
        <v>9</v>
      </c>
      <c r="B4">
        <v>46.7</v>
      </c>
      <c r="C4">
        <v>25</v>
      </c>
      <c r="D4">
        <v>71.3</v>
      </c>
      <c r="E4">
        <v>1.3</v>
      </c>
      <c r="F4" t="s">
        <v>102</v>
      </c>
    </row>
    <row r="5" spans="1:6" x14ac:dyDescent="0.25">
      <c r="A5" t="s">
        <v>10</v>
      </c>
      <c r="B5">
        <v>95.1</v>
      </c>
      <c r="C5">
        <v>41.9</v>
      </c>
      <c r="D5">
        <v>37.299999999999997</v>
      </c>
      <c r="E5">
        <v>471.7</v>
      </c>
      <c r="F5" t="s">
        <v>103</v>
      </c>
    </row>
    <row r="6" spans="1:6" x14ac:dyDescent="0.25">
      <c r="A6" t="s">
        <v>11</v>
      </c>
      <c r="B6">
        <v>11.1</v>
      </c>
      <c r="C6">
        <v>5.2</v>
      </c>
      <c r="D6">
        <v>52.2</v>
      </c>
      <c r="E6">
        <v>651.70000000000005</v>
      </c>
      <c r="F6" t="s">
        <v>104</v>
      </c>
    </row>
    <row r="7" spans="1:6" x14ac:dyDescent="0.25">
      <c r="A7" t="s">
        <v>12</v>
      </c>
      <c r="B7">
        <v>96.7</v>
      </c>
      <c r="C7">
        <v>59.3</v>
      </c>
      <c r="D7">
        <v>84.1</v>
      </c>
      <c r="E7">
        <v>248.6</v>
      </c>
      <c r="F7" t="s">
        <v>101</v>
      </c>
    </row>
    <row r="8" spans="1:6" x14ac:dyDescent="0.25">
      <c r="A8" t="s">
        <v>16</v>
      </c>
      <c r="B8">
        <v>53.9</v>
      </c>
      <c r="C8">
        <v>43.3</v>
      </c>
      <c r="D8">
        <v>88.4</v>
      </c>
      <c r="E8">
        <v>11.7</v>
      </c>
      <c r="F8" t="s">
        <v>101</v>
      </c>
    </row>
    <row r="9" spans="1:6" x14ac:dyDescent="0.25">
      <c r="A9" t="s">
        <v>17</v>
      </c>
      <c r="B9">
        <v>110.7</v>
      </c>
      <c r="C9">
        <v>59.9</v>
      </c>
      <c r="D9">
        <v>71.400000000000006</v>
      </c>
      <c r="E9">
        <v>12.8</v>
      </c>
      <c r="F9" t="s">
        <v>102</v>
      </c>
    </row>
    <row r="10" spans="1:6" x14ac:dyDescent="0.25">
      <c r="A10" t="s">
        <v>18</v>
      </c>
      <c r="B10">
        <v>88.1</v>
      </c>
      <c r="C10">
        <v>49.5</v>
      </c>
      <c r="D10">
        <v>59.7</v>
      </c>
      <c r="E10">
        <v>262.60000000000002</v>
      </c>
      <c r="F10" t="s">
        <v>103</v>
      </c>
    </row>
    <row r="11" spans="1:6" x14ac:dyDescent="0.25">
      <c r="A11" t="s">
        <v>19</v>
      </c>
      <c r="B11">
        <v>112.8</v>
      </c>
      <c r="C11">
        <v>54</v>
      </c>
      <c r="D11">
        <v>41.9</v>
      </c>
      <c r="E11">
        <v>269.60000000000002</v>
      </c>
      <c r="F11" t="s">
        <v>103</v>
      </c>
    </row>
    <row r="12" spans="1:6" x14ac:dyDescent="0.25">
      <c r="A12" t="s">
        <v>20</v>
      </c>
      <c r="B12">
        <v>176.8</v>
      </c>
      <c r="C12">
        <v>106.2</v>
      </c>
      <c r="D12">
        <v>72.8</v>
      </c>
      <c r="E12">
        <v>93.2</v>
      </c>
      <c r="F12" t="s">
        <v>101</v>
      </c>
    </row>
    <row r="13" spans="1:6" x14ac:dyDescent="0.25">
      <c r="A13" t="s">
        <v>21</v>
      </c>
      <c r="B13">
        <v>108.6</v>
      </c>
      <c r="C13">
        <v>67</v>
      </c>
      <c r="D13">
        <v>53.9</v>
      </c>
      <c r="E13">
        <v>413.1</v>
      </c>
      <c r="F13" t="s">
        <v>100</v>
      </c>
    </row>
    <row r="14" spans="1:6" x14ac:dyDescent="0.25">
      <c r="A14" t="s">
        <v>22</v>
      </c>
      <c r="B14">
        <v>49.4</v>
      </c>
      <c r="C14">
        <v>24.9</v>
      </c>
      <c r="D14">
        <v>54.5</v>
      </c>
      <c r="E14">
        <v>25.6</v>
      </c>
      <c r="F14" t="s">
        <v>105</v>
      </c>
    </row>
    <row r="15" spans="1:6" x14ac:dyDescent="0.25">
      <c r="A15" t="s">
        <v>23</v>
      </c>
      <c r="B15">
        <v>108.4</v>
      </c>
      <c r="C15">
        <v>71.3</v>
      </c>
      <c r="D15">
        <v>60.7</v>
      </c>
      <c r="E15">
        <v>257.5</v>
      </c>
      <c r="F15" t="s">
        <v>100</v>
      </c>
    </row>
    <row r="16" spans="1:6" x14ac:dyDescent="0.25">
      <c r="A16" t="s">
        <v>24</v>
      </c>
      <c r="B16">
        <v>104.1</v>
      </c>
      <c r="C16">
        <v>75.7</v>
      </c>
      <c r="D16">
        <v>39.299999999999997</v>
      </c>
      <c r="E16">
        <v>299.2</v>
      </c>
      <c r="F16" t="s">
        <v>100</v>
      </c>
    </row>
    <row r="17" spans="1:6" x14ac:dyDescent="0.25">
      <c r="A17" t="s">
        <v>25</v>
      </c>
      <c r="B17">
        <v>118.1</v>
      </c>
      <c r="C17">
        <v>53.1</v>
      </c>
      <c r="D17">
        <v>65</v>
      </c>
      <c r="E17">
        <v>280.7</v>
      </c>
      <c r="F17" t="s">
        <v>104</v>
      </c>
    </row>
    <row r="18" spans="1:6" x14ac:dyDescent="0.25">
      <c r="A18" t="s">
        <v>26</v>
      </c>
      <c r="B18">
        <v>116.4</v>
      </c>
      <c r="C18">
        <v>53</v>
      </c>
      <c r="D18">
        <v>43.4</v>
      </c>
      <c r="E18">
        <v>336.6</v>
      </c>
      <c r="F18" t="s">
        <v>100</v>
      </c>
    </row>
    <row r="19" spans="1:6" x14ac:dyDescent="0.25">
      <c r="A19" t="s">
        <v>27</v>
      </c>
      <c r="B19">
        <v>125.8</v>
      </c>
      <c r="C19">
        <v>50.2</v>
      </c>
      <c r="D19">
        <v>74.8</v>
      </c>
      <c r="E19">
        <v>1213.5</v>
      </c>
      <c r="F19" t="s">
        <v>104</v>
      </c>
    </row>
    <row r="20" spans="1:6" x14ac:dyDescent="0.25">
      <c r="A20" t="s">
        <v>28</v>
      </c>
      <c r="B20">
        <v>52.5</v>
      </c>
      <c r="C20">
        <v>39.5</v>
      </c>
      <c r="D20">
        <v>52</v>
      </c>
      <c r="E20">
        <v>129.80000000000001</v>
      </c>
      <c r="F20" t="s">
        <v>101</v>
      </c>
    </row>
    <row r="21" spans="1:6" x14ac:dyDescent="0.25">
      <c r="A21" t="s">
        <v>29</v>
      </c>
      <c r="B21">
        <v>73.8</v>
      </c>
      <c r="C21">
        <v>45.5</v>
      </c>
      <c r="D21">
        <v>60.1</v>
      </c>
      <c r="E21">
        <v>33.200000000000003</v>
      </c>
      <c r="F21" t="s">
        <v>102</v>
      </c>
    </row>
    <row r="22" spans="1:6" x14ac:dyDescent="0.25">
      <c r="A22" t="s">
        <v>30</v>
      </c>
      <c r="B22">
        <v>114.5</v>
      </c>
      <c r="C22">
        <v>63.4</v>
      </c>
      <c r="D22">
        <v>43.5</v>
      </c>
      <c r="E22">
        <v>181.7</v>
      </c>
      <c r="F22" t="s">
        <v>103</v>
      </c>
    </row>
    <row r="23" spans="1:6" x14ac:dyDescent="0.25">
      <c r="A23" t="s">
        <v>31</v>
      </c>
      <c r="B23">
        <v>89.6</v>
      </c>
      <c r="C23">
        <v>37</v>
      </c>
      <c r="D23">
        <v>70.7</v>
      </c>
      <c r="E23">
        <v>2542.4</v>
      </c>
      <c r="F23" t="s">
        <v>106</v>
      </c>
    </row>
    <row r="24" spans="1:6" x14ac:dyDescent="0.25">
      <c r="A24" t="s">
        <v>32</v>
      </c>
      <c r="B24">
        <v>104.8</v>
      </c>
      <c r="C24">
        <v>58</v>
      </c>
      <c r="D24">
        <v>59</v>
      </c>
      <c r="E24">
        <v>352.1</v>
      </c>
      <c r="F24" t="s">
        <v>103</v>
      </c>
    </row>
    <row r="25" spans="1:6" x14ac:dyDescent="0.25">
      <c r="A25" t="s">
        <v>33</v>
      </c>
      <c r="B25">
        <v>109.6</v>
      </c>
      <c r="C25">
        <v>84.5</v>
      </c>
      <c r="D25">
        <v>38.1</v>
      </c>
      <c r="E25">
        <v>284.8</v>
      </c>
      <c r="F25" t="s">
        <v>100</v>
      </c>
    </row>
    <row r="26" spans="1:6" x14ac:dyDescent="0.25">
      <c r="A26" t="s">
        <v>34</v>
      </c>
      <c r="B26">
        <v>76.599999999999994</v>
      </c>
      <c r="C26">
        <v>42.2</v>
      </c>
      <c r="D26">
        <v>59.3</v>
      </c>
      <c r="E26">
        <v>272.8</v>
      </c>
      <c r="F26" t="s">
        <v>104</v>
      </c>
    </row>
    <row r="27" spans="1:6" x14ac:dyDescent="0.25">
      <c r="A27" t="s">
        <v>35</v>
      </c>
      <c r="B27">
        <v>82.9</v>
      </c>
      <c r="C27">
        <v>57.9</v>
      </c>
      <c r="D27">
        <v>63.4</v>
      </c>
      <c r="E27">
        <v>94.6</v>
      </c>
      <c r="F27" t="s">
        <v>105</v>
      </c>
    </row>
    <row r="28" spans="1:6" x14ac:dyDescent="0.25">
      <c r="A28" t="s">
        <v>36</v>
      </c>
      <c r="B28">
        <v>265.10000000000002</v>
      </c>
      <c r="C28">
        <v>88.3</v>
      </c>
      <c r="D28">
        <v>43.2</v>
      </c>
      <c r="E28">
        <v>22.2</v>
      </c>
      <c r="F28" t="s">
        <v>105</v>
      </c>
    </row>
    <row r="29" spans="1:6" x14ac:dyDescent="0.25">
      <c r="A29" t="s">
        <v>37</v>
      </c>
      <c r="B29">
        <v>97</v>
      </c>
      <c r="C29">
        <v>45</v>
      </c>
      <c r="D29">
        <v>65.2</v>
      </c>
      <c r="E29">
        <v>476</v>
      </c>
      <c r="F29" t="s">
        <v>103</v>
      </c>
    </row>
    <row r="30" spans="1:6" x14ac:dyDescent="0.25">
      <c r="A30" t="s">
        <v>38</v>
      </c>
      <c r="B30">
        <v>131.5</v>
      </c>
      <c r="C30">
        <v>80.900000000000006</v>
      </c>
      <c r="D30">
        <v>45.9</v>
      </c>
      <c r="E30">
        <v>716.9</v>
      </c>
      <c r="F30" t="s">
        <v>104</v>
      </c>
    </row>
    <row r="31" spans="1:6" x14ac:dyDescent="0.25">
      <c r="A31" t="s">
        <v>39</v>
      </c>
      <c r="B31">
        <v>107.1</v>
      </c>
      <c r="C31">
        <v>48.7</v>
      </c>
      <c r="D31">
        <v>45</v>
      </c>
      <c r="E31">
        <v>4.0999999999999996</v>
      </c>
      <c r="F31" t="s">
        <v>102</v>
      </c>
    </row>
    <row r="32" spans="1:6" x14ac:dyDescent="0.25">
      <c r="A32" t="s">
        <v>40</v>
      </c>
      <c r="B32">
        <v>77.400000000000006</v>
      </c>
      <c r="C32">
        <v>46</v>
      </c>
      <c r="D32">
        <v>41.1</v>
      </c>
      <c r="E32">
        <v>305</v>
      </c>
      <c r="F32" t="s">
        <v>103</v>
      </c>
    </row>
    <row r="33" spans="1:6" x14ac:dyDescent="0.25">
      <c r="A33" t="s">
        <v>41</v>
      </c>
      <c r="B33">
        <v>141.69999999999999</v>
      </c>
      <c r="C33">
        <v>60.9</v>
      </c>
      <c r="D33">
        <v>30.9</v>
      </c>
      <c r="E33">
        <v>226.1</v>
      </c>
      <c r="F33" t="s">
        <v>103</v>
      </c>
    </row>
    <row r="34" spans="1:6" x14ac:dyDescent="0.25">
      <c r="A34" t="s">
        <v>42</v>
      </c>
      <c r="B34">
        <v>98.4</v>
      </c>
      <c r="C34">
        <v>37.299999999999997</v>
      </c>
      <c r="D34">
        <v>41.2</v>
      </c>
      <c r="E34">
        <v>511.7</v>
      </c>
      <c r="F34" t="s">
        <v>104</v>
      </c>
    </row>
    <row r="35" spans="1:6" x14ac:dyDescent="0.25">
      <c r="A35" t="s">
        <v>43</v>
      </c>
      <c r="B35">
        <v>122.9</v>
      </c>
      <c r="C35">
        <v>68.400000000000006</v>
      </c>
      <c r="D35">
        <v>44.1</v>
      </c>
      <c r="E35">
        <v>16.5</v>
      </c>
      <c r="F35" t="s">
        <v>106</v>
      </c>
    </row>
    <row r="36" spans="1:6" x14ac:dyDescent="0.25">
      <c r="A36" t="s">
        <v>44</v>
      </c>
      <c r="B36">
        <v>92.7</v>
      </c>
      <c r="C36">
        <v>73.099999999999994</v>
      </c>
      <c r="D36">
        <v>50</v>
      </c>
      <c r="E36">
        <v>48.1</v>
      </c>
      <c r="F36" t="s">
        <v>106</v>
      </c>
    </row>
    <row r="37" spans="1:6" x14ac:dyDescent="0.25">
      <c r="A37" t="s">
        <v>45</v>
      </c>
      <c r="B37">
        <v>219.4</v>
      </c>
      <c r="C37">
        <v>150.69999999999999</v>
      </c>
      <c r="D37">
        <v>47</v>
      </c>
      <c r="E37">
        <v>51.3</v>
      </c>
      <c r="F37" t="s">
        <v>104</v>
      </c>
    </row>
    <row r="38" spans="1:6" x14ac:dyDescent="0.25">
      <c r="A38" t="s">
        <v>46</v>
      </c>
      <c r="B38">
        <v>65.599999999999994</v>
      </c>
      <c r="C38">
        <v>26.6</v>
      </c>
      <c r="D38">
        <v>82.8</v>
      </c>
      <c r="E38">
        <v>1024.5</v>
      </c>
      <c r="F38" t="s">
        <v>104</v>
      </c>
    </row>
    <row r="39" spans="1:6" x14ac:dyDescent="0.25">
      <c r="A39" t="s">
        <v>47</v>
      </c>
      <c r="B39">
        <v>89.3</v>
      </c>
      <c r="C39">
        <v>38.9</v>
      </c>
      <c r="D39">
        <v>74.2</v>
      </c>
      <c r="E39">
        <v>477.5</v>
      </c>
      <c r="F39" t="s">
        <v>104</v>
      </c>
    </row>
    <row r="40" spans="1:6" x14ac:dyDescent="0.25">
      <c r="A40" t="s">
        <v>48</v>
      </c>
      <c r="B40">
        <v>116.8</v>
      </c>
      <c r="C40">
        <v>60.6</v>
      </c>
      <c r="D40">
        <v>46.7</v>
      </c>
      <c r="E40">
        <v>27.3</v>
      </c>
      <c r="F40" t="s">
        <v>105</v>
      </c>
    </row>
    <row r="41" spans="1:6" x14ac:dyDescent="0.25">
      <c r="A41" t="s">
        <v>49</v>
      </c>
      <c r="B41">
        <v>65.5</v>
      </c>
      <c r="C41">
        <v>42.2</v>
      </c>
      <c r="D41">
        <v>67.099999999999994</v>
      </c>
      <c r="E41">
        <v>325.10000000000002</v>
      </c>
      <c r="F41" t="s">
        <v>103</v>
      </c>
    </row>
    <row r="42" spans="1:6" x14ac:dyDescent="0.25">
      <c r="A42" t="s">
        <v>50</v>
      </c>
      <c r="B42">
        <v>148.5</v>
      </c>
      <c r="C42">
        <v>94.9</v>
      </c>
      <c r="D42">
        <v>38</v>
      </c>
      <c r="E42">
        <v>49.9</v>
      </c>
      <c r="F42" t="s">
        <v>105</v>
      </c>
    </row>
    <row r="43" spans="1:6" x14ac:dyDescent="0.25">
      <c r="A43" t="s">
        <v>51</v>
      </c>
      <c r="B43">
        <v>77</v>
      </c>
      <c r="C43">
        <v>49.5</v>
      </c>
      <c r="D43">
        <v>77.099999999999994</v>
      </c>
      <c r="E43">
        <v>578.79999999999995</v>
      </c>
      <c r="F43" t="s">
        <v>104</v>
      </c>
    </row>
    <row r="44" spans="1:6" x14ac:dyDescent="0.25">
      <c r="A44" t="s">
        <v>52</v>
      </c>
      <c r="B44">
        <v>120.5</v>
      </c>
      <c r="C44">
        <v>91.4</v>
      </c>
      <c r="D44">
        <v>46.8</v>
      </c>
      <c r="E44">
        <v>312.60000000000002</v>
      </c>
      <c r="F44" t="s">
        <v>106</v>
      </c>
    </row>
    <row r="45" spans="1:6" x14ac:dyDescent="0.25">
      <c r="A45" t="s">
        <v>53</v>
      </c>
      <c r="B45">
        <v>104.4</v>
      </c>
      <c r="C45">
        <v>85.3</v>
      </c>
      <c r="D45">
        <v>61.8</v>
      </c>
      <c r="E45">
        <v>93.7</v>
      </c>
      <c r="F45" t="s">
        <v>102</v>
      </c>
    </row>
    <row r="46" spans="1:6" x14ac:dyDescent="0.25">
      <c r="A46" t="s">
        <v>54</v>
      </c>
      <c r="B46">
        <v>74.2</v>
      </c>
      <c r="C46">
        <v>44.6</v>
      </c>
      <c r="D46">
        <v>64.5</v>
      </c>
      <c r="E46">
        <v>146.9</v>
      </c>
      <c r="F46" t="s">
        <v>103</v>
      </c>
    </row>
    <row r="47" spans="1:6" x14ac:dyDescent="0.25">
      <c r="A47" t="s">
        <v>55</v>
      </c>
      <c r="B47">
        <v>143.19999999999999</v>
      </c>
      <c r="C47">
        <v>84.1</v>
      </c>
      <c r="D47">
        <v>61.4</v>
      </c>
      <c r="E47">
        <v>279</v>
      </c>
      <c r="F47" t="s">
        <v>103</v>
      </c>
    </row>
    <row r="48" spans="1:6" x14ac:dyDescent="0.25">
      <c r="A48" t="s">
        <v>56</v>
      </c>
      <c r="B48">
        <v>85.3</v>
      </c>
      <c r="C48">
        <v>56.3</v>
      </c>
      <c r="D48">
        <v>50.9</v>
      </c>
      <c r="E48">
        <v>409.4</v>
      </c>
      <c r="F48" t="s">
        <v>100</v>
      </c>
    </row>
    <row r="49" spans="1:6" x14ac:dyDescent="0.25">
      <c r="A49" t="s">
        <v>57</v>
      </c>
      <c r="B49">
        <v>54.2</v>
      </c>
      <c r="C49">
        <v>44.3</v>
      </c>
      <c r="D49">
        <v>53.3</v>
      </c>
      <c r="E49">
        <v>164.6</v>
      </c>
      <c r="F49" t="s">
        <v>103</v>
      </c>
    </row>
    <row r="50" spans="1:6" x14ac:dyDescent="0.25">
      <c r="A50" t="s">
        <v>58</v>
      </c>
      <c r="B50">
        <v>188.8</v>
      </c>
      <c r="C50">
        <v>82.9</v>
      </c>
      <c r="D50">
        <v>45.1</v>
      </c>
      <c r="E50">
        <v>100.2</v>
      </c>
      <c r="F50" t="s">
        <v>105</v>
      </c>
    </row>
    <row r="51" spans="1:6" x14ac:dyDescent="0.25">
      <c r="A51" t="s">
        <v>59</v>
      </c>
      <c r="B51">
        <v>88.9</v>
      </c>
      <c r="C51">
        <v>50.5</v>
      </c>
      <c r="D51">
        <v>53.3</v>
      </c>
      <c r="E51">
        <v>113</v>
      </c>
      <c r="F51" t="s">
        <v>105</v>
      </c>
    </row>
    <row r="52" spans="1:6" x14ac:dyDescent="0.25">
      <c r="A52" t="s">
        <v>60</v>
      </c>
      <c r="B52">
        <v>109.1</v>
      </c>
      <c r="C52">
        <v>66.099999999999994</v>
      </c>
      <c r="D52">
        <v>56.1</v>
      </c>
      <c r="E52">
        <v>200.8</v>
      </c>
      <c r="F52" t="s">
        <v>106</v>
      </c>
    </row>
    <row r="53" spans="1:6" x14ac:dyDescent="0.25">
      <c r="A53" t="s">
        <v>61</v>
      </c>
      <c r="B53">
        <v>120.3</v>
      </c>
      <c r="C53">
        <v>80.2</v>
      </c>
      <c r="D53">
        <v>44.9</v>
      </c>
      <c r="E53">
        <v>314.60000000000002</v>
      </c>
      <c r="F53" t="s">
        <v>103</v>
      </c>
    </row>
    <row r="54" spans="1:6" x14ac:dyDescent="0.25">
      <c r="A54" t="s">
        <v>62</v>
      </c>
      <c r="B54">
        <v>66.7</v>
      </c>
      <c r="C54">
        <v>28.4</v>
      </c>
      <c r="D54">
        <v>62.6</v>
      </c>
      <c r="E54">
        <v>1.9</v>
      </c>
      <c r="F54" t="s">
        <v>106</v>
      </c>
    </row>
    <row r="55" spans="1:6" x14ac:dyDescent="0.25">
      <c r="A55" t="s">
        <v>63</v>
      </c>
      <c r="B55">
        <v>81.599999999999994</v>
      </c>
      <c r="C55">
        <v>56.8</v>
      </c>
      <c r="D55">
        <v>57.5</v>
      </c>
      <c r="E55">
        <v>24.2</v>
      </c>
      <c r="F55" t="s">
        <v>106</v>
      </c>
    </row>
    <row r="56" spans="1:6" x14ac:dyDescent="0.25">
      <c r="A56" t="s">
        <v>64</v>
      </c>
      <c r="B56">
        <v>49.2</v>
      </c>
      <c r="C56">
        <v>24.6</v>
      </c>
      <c r="D56">
        <v>73.900000000000006</v>
      </c>
      <c r="E56">
        <v>848.8</v>
      </c>
      <c r="F56" t="s">
        <v>100</v>
      </c>
    </row>
    <row r="57" spans="1:6" x14ac:dyDescent="0.25">
      <c r="A57" t="s">
        <v>65</v>
      </c>
      <c r="B57">
        <v>82.5</v>
      </c>
      <c r="C57">
        <v>34</v>
      </c>
      <c r="D57">
        <v>97.6</v>
      </c>
      <c r="E57">
        <v>2521.6</v>
      </c>
      <c r="F57" t="s">
        <v>100</v>
      </c>
    </row>
    <row r="58" spans="1:6" x14ac:dyDescent="0.25">
      <c r="A58" t="s">
        <v>66</v>
      </c>
      <c r="B58">
        <v>89.9</v>
      </c>
      <c r="C58">
        <v>78</v>
      </c>
      <c r="D58">
        <v>37.299999999999997</v>
      </c>
      <c r="E58">
        <v>5.6</v>
      </c>
      <c r="F58" t="s">
        <v>102</v>
      </c>
    </row>
    <row r="59" spans="1:6" x14ac:dyDescent="0.25">
      <c r="A59" t="s">
        <v>68</v>
      </c>
      <c r="B59">
        <v>83.8</v>
      </c>
      <c r="C59">
        <v>62.4</v>
      </c>
      <c r="D59">
        <v>62.8</v>
      </c>
      <c r="E59">
        <v>567.4</v>
      </c>
      <c r="F59" t="s">
        <v>100</v>
      </c>
    </row>
    <row r="60" spans="1:6" x14ac:dyDescent="0.25">
      <c r="A60" t="s">
        <v>69</v>
      </c>
      <c r="B60">
        <v>99.1</v>
      </c>
      <c r="C60">
        <v>48.1</v>
      </c>
      <c r="D60">
        <v>58.7</v>
      </c>
      <c r="E60">
        <v>221.7</v>
      </c>
      <c r="F60" t="s">
        <v>106</v>
      </c>
    </row>
    <row r="61" spans="1:6" x14ac:dyDescent="0.25">
      <c r="A61" t="s">
        <v>70</v>
      </c>
      <c r="B61">
        <v>123.1</v>
      </c>
      <c r="C61">
        <v>69.400000000000006</v>
      </c>
      <c r="D61">
        <v>46.5</v>
      </c>
      <c r="E61">
        <v>384.3</v>
      </c>
      <c r="F61" t="s">
        <v>100</v>
      </c>
    </row>
    <row r="62" spans="1:6" x14ac:dyDescent="0.25">
      <c r="A62" t="s">
        <v>71</v>
      </c>
      <c r="B62">
        <v>85.8</v>
      </c>
      <c r="C62">
        <v>57.4</v>
      </c>
      <c r="D62">
        <v>57.2</v>
      </c>
      <c r="E62">
        <v>136.80000000000001</v>
      </c>
      <c r="F62" t="s">
        <v>101</v>
      </c>
    </row>
    <row r="63" spans="1:6" x14ac:dyDescent="0.25">
      <c r="A63" t="s">
        <v>72</v>
      </c>
      <c r="B63">
        <v>111.1</v>
      </c>
      <c r="C63">
        <v>57.4</v>
      </c>
      <c r="D63">
        <v>64</v>
      </c>
      <c r="E63">
        <v>11.7</v>
      </c>
      <c r="F63" t="s">
        <v>105</v>
      </c>
    </row>
    <row r="64" spans="1:6" x14ac:dyDescent="0.25">
      <c r="A64" t="s">
        <v>73</v>
      </c>
      <c r="B64">
        <v>124.1</v>
      </c>
      <c r="C64">
        <v>61.3</v>
      </c>
      <c r="D64">
        <v>84.4</v>
      </c>
      <c r="E64">
        <v>481</v>
      </c>
      <c r="F64" t="s">
        <v>104</v>
      </c>
    </row>
    <row r="65" spans="1:6" x14ac:dyDescent="0.25">
      <c r="A65" t="s">
        <v>74</v>
      </c>
      <c r="B65">
        <v>171.2</v>
      </c>
      <c r="C65">
        <v>91.5</v>
      </c>
      <c r="D65">
        <v>48.3</v>
      </c>
      <c r="E65">
        <v>139.30000000000001</v>
      </c>
      <c r="F65" t="s">
        <v>100</v>
      </c>
    </row>
    <row r="66" spans="1:6" x14ac:dyDescent="0.25">
      <c r="A66" t="s">
        <v>75</v>
      </c>
      <c r="B66">
        <v>166.4</v>
      </c>
      <c r="C66">
        <v>79.5</v>
      </c>
      <c r="D66">
        <v>26.3</v>
      </c>
      <c r="E66">
        <v>115.8</v>
      </c>
      <c r="F66" t="s">
        <v>103</v>
      </c>
    </row>
    <row r="67" spans="1:6" x14ac:dyDescent="0.25">
      <c r="A67" t="s">
        <v>76</v>
      </c>
      <c r="B67">
        <v>93</v>
      </c>
      <c r="C67">
        <v>58.9</v>
      </c>
      <c r="D67">
        <v>71.2</v>
      </c>
      <c r="E67">
        <v>183.1</v>
      </c>
      <c r="F67" t="s">
        <v>105</v>
      </c>
    </row>
    <row r="68" spans="1:6" x14ac:dyDescent="0.25">
      <c r="A68" t="s">
        <v>77</v>
      </c>
      <c r="B68">
        <v>122.8</v>
      </c>
      <c r="C68">
        <v>50.2</v>
      </c>
      <c r="D68">
        <v>45.4</v>
      </c>
      <c r="E68">
        <v>363.3</v>
      </c>
      <c r="F68" t="s">
        <v>104</v>
      </c>
    </row>
    <row r="69" spans="1:6" x14ac:dyDescent="0.25">
      <c r="A69" t="s">
        <v>78</v>
      </c>
      <c r="B69">
        <v>87.2</v>
      </c>
      <c r="C69">
        <v>81</v>
      </c>
      <c r="D69">
        <v>53.4</v>
      </c>
      <c r="E69">
        <v>4.4000000000000004</v>
      </c>
      <c r="F69" t="s">
        <v>102</v>
      </c>
    </row>
    <row r="70" spans="1:6" x14ac:dyDescent="0.25">
      <c r="A70" t="s">
        <v>79</v>
      </c>
      <c r="B70">
        <v>127.1</v>
      </c>
      <c r="C70">
        <v>62</v>
      </c>
      <c r="D70">
        <v>51.4</v>
      </c>
      <c r="E70">
        <v>365.4</v>
      </c>
      <c r="F70" t="s">
        <v>100</v>
      </c>
    </row>
    <row r="71" spans="1:6" x14ac:dyDescent="0.25">
      <c r="A71" t="s">
        <v>80</v>
      </c>
      <c r="B71">
        <v>95.5</v>
      </c>
      <c r="C71">
        <v>59.8</v>
      </c>
      <c r="D71">
        <v>59.8</v>
      </c>
      <c r="E71">
        <v>518.9</v>
      </c>
      <c r="F71" t="s">
        <v>106</v>
      </c>
    </row>
    <row r="72" spans="1:6" x14ac:dyDescent="0.25">
      <c r="A72" t="s">
        <v>81</v>
      </c>
      <c r="B72">
        <v>95.1</v>
      </c>
      <c r="C72">
        <v>44.2</v>
      </c>
      <c r="D72">
        <v>62.4</v>
      </c>
      <c r="E72">
        <v>665.7</v>
      </c>
      <c r="F72" t="s">
        <v>104</v>
      </c>
    </row>
    <row r="73" spans="1:6" x14ac:dyDescent="0.25">
      <c r="A73" t="s">
        <v>82</v>
      </c>
      <c r="B73">
        <v>117</v>
      </c>
      <c r="C73">
        <v>54.8</v>
      </c>
      <c r="D73">
        <v>44.6</v>
      </c>
      <c r="E73">
        <v>33</v>
      </c>
      <c r="F73" t="s">
        <v>105</v>
      </c>
    </row>
    <row r="74" spans="1:6" x14ac:dyDescent="0.25">
      <c r="A74" t="s">
        <v>83</v>
      </c>
      <c r="B74">
        <v>113.7</v>
      </c>
      <c r="C74">
        <v>72.3</v>
      </c>
      <c r="D74">
        <v>57.3</v>
      </c>
      <c r="E74">
        <v>338.4</v>
      </c>
      <c r="F74" t="s">
        <v>100</v>
      </c>
    </row>
    <row r="75" spans="1:6" x14ac:dyDescent="0.25">
      <c r="A75" t="s">
        <v>85</v>
      </c>
      <c r="B75">
        <v>97.9</v>
      </c>
      <c r="C75">
        <v>53.7</v>
      </c>
      <c r="D75">
        <v>46.1</v>
      </c>
      <c r="E75">
        <v>34.9</v>
      </c>
      <c r="F75" t="s">
        <v>102</v>
      </c>
    </row>
    <row r="76" spans="1:6" x14ac:dyDescent="0.25">
      <c r="A76" t="s">
        <v>86</v>
      </c>
      <c r="B76">
        <v>123.1</v>
      </c>
      <c r="C76">
        <v>67.2</v>
      </c>
      <c r="D76">
        <v>41.4</v>
      </c>
      <c r="E76">
        <v>71.2</v>
      </c>
      <c r="F76" t="s">
        <v>102</v>
      </c>
    </row>
    <row r="77" spans="1:6" x14ac:dyDescent="0.25">
      <c r="A77" t="s">
        <v>88</v>
      </c>
      <c r="B77">
        <v>111.7</v>
      </c>
      <c r="C77">
        <v>68.7</v>
      </c>
      <c r="D77">
        <v>56.7</v>
      </c>
      <c r="E77">
        <v>429.3</v>
      </c>
      <c r="F77" t="s">
        <v>100</v>
      </c>
    </row>
    <row r="78" spans="1:6" x14ac:dyDescent="0.25">
      <c r="A78" t="s">
        <v>89</v>
      </c>
      <c r="B78">
        <v>115.5</v>
      </c>
      <c r="C78">
        <v>66.599999999999994</v>
      </c>
      <c r="D78">
        <v>42.9</v>
      </c>
      <c r="E78">
        <v>110.7</v>
      </c>
      <c r="F78" t="s">
        <v>106</v>
      </c>
    </row>
    <row r="79" spans="1:6" x14ac:dyDescent="0.25">
      <c r="A79" t="s">
        <v>90</v>
      </c>
      <c r="B79">
        <v>86.3</v>
      </c>
      <c r="C79">
        <v>58.1</v>
      </c>
      <c r="D79">
        <v>29.7</v>
      </c>
      <c r="E79">
        <v>153.4</v>
      </c>
      <c r="F79" t="s">
        <v>104</v>
      </c>
    </row>
    <row r="80" spans="1:6" x14ac:dyDescent="0.25">
      <c r="A80" t="s">
        <v>91</v>
      </c>
      <c r="B80">
        <v>160.4</v>
      </c>
      <c r="C80">
        <v>84.5</v>
      </c>
      <c r="D80">
        <v>43.5</v>
      </c>
      <c r="E80">
        <v>394.2</v>
      </c>
      <c r="F80" t="s">
        <v>100</v>
      </c>
    </row>
    <row r="81" spans="1:6" x14ac:dyDescent="0.25">
      <c r="A81" t="s">
        <v>92</v>
      </c>
      <c r="B81">
        <v>65.7</v>
      </c>
      <c r="C81">
        <v>23.8</v>
      </c>
      <c r="D81">
        <v>49.4</v>
      </c>
      <c r="E81">
        <v>331.2</v>
      </c>
      <c r="F81" t="s">
        <v>100</v>
      </c>
    </row>
    <row r="82" spans="1:6" x14ac:dyDescent="0.25">
      <c r="A82" t="s">
        <v>93</v>
      </c>
      <c r="B82">
        <v>82.2</v>
      </c>
      <c r="C82">
        <v>51.6</v>
      </c>
      <c r="D82">
        <v>77.3</v>
      </c>
      <c r="E82">
        <v>732</v>
      </c>
      <c r="F82" t="s">
        <v>100</v>
      </c>
    </row>
    <row r="83" spans="1:6" x14ac:dyDescent="0.25">
      <c r="A83" t="s">
        <v>94</v>
      </c>
      <c r="B83">
        <v>122.4</v>
      </c>
      <c r="C83">
        <v>57.6</v>
      </c>
      <c r="D83">
        <v>39.9</v>
      </c>
      <c r="E83">
        <v>84.8</v>
      </c>
      <c r="F83" t="s">
        <v>104</v>
      </c>
    </row>
    <row r="84" spans="1:6" x14ac:dyDescent="0.25">
      <c r="A84" t="s">
        <v>95</v>
      </c>
      <c r="B84">
        <v>67.099999999999994</v>
      </c>
      <c r="C84">
        <v>36.700000000000003</v>
      </c>
      <c r="D84">
        <v>15.7</v>
      </c>
      <c r="E84">
        <v>29.6</v>
      </c>
      <c r="F84" t="s">
        <v>106</v>
      </c>
    </row>
    <row r="85" spans="1:6" x14ac:dyDescent="0.25">
      <c r="A85" t="s">
        <v>96</v>
      </c>
      <c r="B85">
        <v>166.8</v>
      </c>
      <c r="C85">
        <v>98.9</v>
      </c>
      <c r="D85">
        <v>33.5</v>
      </c>
      <c r="E85">
        <v>37.200000000000003</v>
      </c>
      <c r="F85" t="s">
        <v>102</v>
      </c>
    </row>
    <row r="86" spans="1:6" x14ac:dyDescent="0.25">
      <c r="A86" t="s">
        <v>97</v>
      </c>
      <c r="B86">
        <v>105.4</v>
      </c>
      <c r="C86">
        <v>65.7</v>
      </c>
      <c r="D86">
        <v>36.299999999999997</v>
      </c>
      <c r="E86">
        <v>199.8</v>
      </c>
      <c r="F86" t="s">
        <v>105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zoomScaleNormal="100" zoomScalePageLayoutView="60" workbookViewId="0"/>
  </sheetViews>
  <sheetFormatPr defaultColWidth="11.5703125" defaultRowHeight="15" x14ac:dyDescent="0.25"/>
  <sheetData>
    <row r="1" spans="1:6" x14ac:dyDescent="0.25">
      <c r="A1" t="s">
        <v>1</v>
      </c>
      <c r="B1" t="s">
        <v>2</v>
      </c>
      <c r="C1" t="s">
        <v>4</v>
      </c>
      <c r="D1" t="s">
        <v>5</v>
      </c>
      <c r="E1" t="s">
        <v>6</v>
      </c>
      <c r="F1" t="s">
        <v>99</v>
      </c>
    </row>
    <row r="2" spans="1:6" x14ac:dyDescent="0.25">
      <c r="A2" t="s">
        <v>7</v>
      </c>
      <c r="B2">
        <v>133.30000000000001</v>
      </c>
      <c r="C2">
        <v>72.3</v>
      </c>
      <c r="D2">
        <v>37.200000000000003</v>
      </c>
      <c r="E2">
        <v>287.10000000000002</v>
      </c>
      <c r="F2" t="s">
        <v>100</v>
      </c>
    </row>
    <row r="3" spans="1:6" x14ac:dyDescent="0.25">
      <c r="A3" t="s">
        <v>8</v>
      </c>
      <c r="B3">
        <v>42.5</v>
      </c>
      <c r="C3">
        <v>28.5</v>
      </c>
      <c r="D3">
        <v>74.900000000000006</v>
      </c>
      <c r="E3">
        <v>3.7</v>
      </c>
      <c r="F3" t="s">
        <v>101</v>
      </c>
    </row>
    <row r="4" spans="1:6" x14ac:dyDescent="0.25">
      <c r="A4" t="s">
        <v>9</v>
      </c>
      <c r="B4">
        <v>46.7</v>
      </c>
      <c r="C4">
        <v>25</v>
      </c>
      <c r="D4">
        <v>71.3</v>
      </c>
      <c r="E4">
        <v>1.3</v>
      </c>
      <c r="F4" t="s">
        <v>102</v>
      </c>
    </row>
    <row r="5" spans="1:6" x14ac:dyDescent="0.25">
      <c r="A5" t="s">
        <v>10</v>
      </c>
      <c r="B5">
        <v>95.1</v>
      </c>
      <c r="C5">
        <v>41.9</v>
      </c>
      <c r="D5">
        <v>37.299999999999997</v>
      </c>
      <c r="E5">
        <v>471.7</v>
      </c>
      <c r="F5" t="s">
        <v>103</v>
      </c>
    </row>
    <row r="6" spans="1:6" x14ac:dyDescent="0.25">
      <c r="A6" t="s">
        <v>11</v>
      </c>
      <c r="B6">
        <v>11.1</v>
      </c>
      <c r="C6">
        <v>5.2</v>
      </c>
      <c r="D6">
        <v>52.2</v>
      </c>
      <c r="E6">
        <v>651.70000000000005</v>
      </c>
      <c r="F6" t="s">
        <v>104</v>
      </c>
    </row>
    <row r="7" spans="1:6" x14ac:dyDescent="0.25">
      <c r="A7" t="s">
        <v>12</v>
      </c>
      <c r="B7">
        <v>96.7</v>
      </c>
      <c r="C7">
        <v>59.3</v>
      </c>
      <c r="D7">
        <v>84.1</v>
      </c>
      <c r="E7">
        <v>248.6</v>
      </c>
      <c r="F7" t="s">
        <v>101</v>
      </c>
    </row>
    <row r="8" spans="1:6" x14ac:dyDescent="0.25">
      <c r="A8" t="s">
        <v>16</v>
      </c>
      <c r="B8">
        <v>53.9</v>
      </c>
      <c r="C8">
        <v>43.3</v>
      </c>
      <c r="D8">
        <v>88.4</v>
      </c>
      <c r="E8">
        <v>11.7</v>
      </c>
      <c r="F8" t="s">
        <v>101</v>
      </c>
    </row>
    <row r="9" spans="1:6" x14ac:dyDescent="0.25">
      <c r="A9" t="s">
        <v>17</v>
      </c>
      <c r="B9">
        <v>110.7</v>
      </c>
      <c r="C9">
        <v>59.9</v>
      </c>
      <c r="D9">
        <v>71.400000000000006</v>
      </c>
      <c r="E9">
        <v>12.8</v>
      </c>
      <c r="F9" t="s">
        <v>102</v>
      </c>
    </row>
    <row r="10" spans="1:6" x14ac:dyDescent="0.25">
      <c r="A10" t="s">
        <v>18</v>
      </c>
      <c r="B10">
        <v>88.1</v>
      </c>
      <c r="C10">
        <v>49.5</v>
      </c>
      <c r="D10">
        <v>59.7</v>
      </c>
      <c r="E10">
        <v>262.60000000000002</v>
      </c>
      <c r="F10" t="s">
        <v>103</v>
      </c>
    </row>
    <row r="11" spans="1:6" x14ac:dyDescent="0.25">
      <c r="A11" t="s">
        <v>19</v>
      </c>
      <c r="B11">
        <v>112.8</v>
      </c>
      <c r="C11">
        <v>54</v>
      </c>
      <c r="D11">
        <v>41.9</v>
      </c>
      <c r="E11">
        <v>269.60000000000002</v>
      </c>
      <c r="F11" t="s">
        <v>103</v>
      </c>
    </row>
    <row r="12" spans="1:6" x14ac:dyDescent="0.25">
      <c r="A12" t="s">
        <v>20</v>
      </c>
      <c r="B12">
        <v>176.8</v>
      </c>
      <c r="C12">
        <v>106.2</v>
      </c>
      <c r="D12">
        <v>72.8</v>
      </c>
      <c r="E12">
        <v>93.2</v>
      </c>
      <c r="F12" t="s">
        <v>101</v>
      </c>
    </row>
    <row r="13" spans="1:6" x14ac:dyDescent="0.25">
      <c r="A13" t="s">
        <v>21</v>
      </c>
      <c r="B13">
        <v>108.6</v>
      </c>
      <c r="C13">
        <v>67</v>
      </c>
      <c r="D13">
        <v>53.9</v>
      </c>
      <c r="E13">
        <v>413.1</v>
      </c>
      <c r="F13" t="s">
        <v>100</v>
      </c>
    </row>
    <row r="14" spans="1:6" x14ac:dyDescent="0.25">
      <c r="A14" t="s">
        <v>22</v>
      </c>
      <c r="B14">
        <v>49.4</v>
      </c>
      <c r="C14">
        <v>24.9</v>
      </c>
      <c r="D14">
        <v>54.5</v>
      </c>
      <c r="E14">
        <v>25.6</v>
      </c>
      <c r="F14" t="s">
        <v>105</v>
      </c>
    </row>
    <row r="15" spans="1:6" x14ac:dyDescent="0.25">
      <c r="A15" t="s">
        <v>23</v>
      </c>
      <c r="B15">
        <v>108.4</v>
      </c>
      <c r="C15">
        <v>71.3</v>
      </c>
      <c r="D15">
        <v>60.7</v>
      </c>
      <c r="E15">
        <v>257.5</v>
      </c>
      <c r="F15" t="s">
        <v>100</v>
      </c>
    </row>
    <row r="16" spans="1:6" x14ac:dyDescent="0.25">
      <c r="A16" t="s">
        <v>24</v>
      </c>
      <c r="B16">
        <v>104.1</v>
      </c>
      <c r="C16">
        <v>75.7</v>
      </c>
      <c r="D16">
        <v>39.299999999999997</v>
      </c>
      <c r="E16">
        <v>299.2</v>
      </c>
      <c r="F16" t="s">
        <v>100</v>
      </c>
    </row>
    <row r="17" spans="1:6" x14ac:dyDescent="0.25">
      <c r="A17" t="s">
        <v>25</v>
      </c>
      <c r="B17">
        <v>118.1</v>
      </c>
      <c r="C17">
        <v>53.1</v>
      </c>
      <c r="D17">
        <v>65</v>
      </c>
      <c r="E17">
        <v>280.7</v>
      </c>
      <c r="F17" t="s">
        <v>104</v>
      </c>
    </row>
    <row r="18" spans="1:6" x14ac:dyDescent="0.25">
      <c r="A18" t="s">
        <v>26</v>
      </c>
      <c r="B18">
        <v>116.4</v>
      </c>
      <c r="C18">
        <v>53</v>
      </c>
      <c r="D18">
        <v>43.4</v>
      </c>
      <c r="E18">
        <v>336.6</v>
      </c>
      <c r="F18" t="s">
        <v>100</v>
      </c>
    </row>
    <row r="19" spans="1:6" x14ac:dyDescent="0.25">
      <c r="A19" t="s">
        <v>27</v>
      </c>
      <c r="B19">
        <v>125.8</v>
      </c>
      <c r="C19">
        <v>50.2</v>
      </c>
      <c r="D19">
        <v>74.8</v>
      </c>
      <c r="E19">
        <v>1213.5</v>
      </c>
      <c r="F19" t="s">
        <v>104</v>
      </c>
    </row>
    <row r="20" spans="1:6" x14ac:dyDescent="0.25">
      <c r="A20" t="s">
        <v>28</v>
      </c>
      <c r="B20">
        <v>52.5</v>
      </c>
      <c r="C20">
        <v>39.5</v>
      </c>
      <c r="D20">
        <v>52</v>
      </c>
      <c r="E20">
        <v>129.80000000000001</v>
      </c>
      <c r="F20" t="s">
        <v>101</v>
      </c>
    </row>
    <row r="21" spans="1:6" x14ac:dyDescent="0.25">
      <c r="A21" t="s">
        <v>29</v>
      </c>
      <c r="B21">
        <v>73.8</v>
      </c>
      <c r="C21">
        <v>45.5</v>
      </c>
      <c r="D21">
        <v>60.1</v>
      </c>
      <c r="E21">
        <v>33.200000000000003</v>
      </c>
      <c r="F21" t="s">
        <v>102</v>
      </c>
    </row>
    <row r="22" spans="1:6" x14ac:dyDescent="0.25">
      <c r="A22" t="s">
        <v>30</v>
      </c>
      <c r="B22">
        <v>114.5</v>
      </c>
      <c r="C22">
        <v>63.4</v>
      </c>
      <c r="D22">
        <v>43.5</v>
      </c>
      <c r="E22">
        <v>181.7</v>
      </c>
      <c r="F22" t="s">
        <v>103</v>
      </c>
    </row>
    <row r="23" spans="1:6" x14ac:dyDescent="0.25">
      <c r="A23" t="s">
        <v>31</v>
      </c>
      <c r="B23">
        <v>89.6</v>
      </c>
      <c r="C23">
        <v>37</v>
      </c>
      <c r="D23">
        <v>70.7</v>
      </c>
      <c r="E23">
        <v>2542.4</v>
      </c>
      <c r="F23" t="s">
        <v>106</v>
      </c>
    </row>
    <row r="24" spans="1:6" x14ac:dyDescent="0.25">
      <c r="A24" t="s">
        <v>32</v>
      </c>
      <c r="B24">
        <v>104.8</v>
      </c>
      <c r="C24">
        <v>58</v>
      </c>
      <c r="D24">
        <v>59</v>
      </c>
      <c r="E24">
        <v>352.1</v>
      </c>
      <c r="F24" t="s">
        <v>103</v>
      </c>
    </row>
    <row r="25" spans="1:6" x14ac:dyDescent="0.25">
      <c r="A25" t="s">
        <v>33</v>
      </c>
      <c r="B25">
        <v>109.6</v>
      </c>
      <c r="C25">
        <v>84.5</v>
      </c>
      <c r="D25">
        <v>38.1</v>
      </c>
      <c r="E25">
        <v>284.8</v>
      </c>
      <c r="F25" t="s">
        <v>100</v>
      </c>
    </row>
    <row r="26" spans="1:6" x14ac:dyDescent="0.25">
      <c r="A26" t="s">
        <v>34</v>
      </c>
      <c r="B26">
        <v>76.599999999999994</v>
      </c>
      <c r="C26">
        <v>42.2</v>
      </c>
      <c r="D26">
        <v>59.3</v>
      </c>
      <c r="E26">
        <v>272.8</v>
      </c>
      <c r="F26" t="s">
        <v>104</v>
      </c>
    </row>
    <row r="27" spans="1:6" x14ac:dyDescent="0.25">
      <c r="A27" t="s">
        <v>35</v>
      </c>
      <c r="B27">
        <v>82.9</v>
      </c>
      <c r="C27">
        <v>57.9</v>
      </c>
      <c r="D27">
        <v>63.4</v>
      </c>
      <c r="E27">
        <v>94.6</v>
      </c>
      <c r="F27" t="s">
        <v>105</v>
      </c>
    </row>
    <row r="28" spans="1:6" x14ac:dyDescent="0.25">
      <c r="A28" t="s">
        <v>36</v>
      </c>
      <c r="B28">
        <v>265.10000000000002</v>
      </c>
      <c r="C28">
        <v>88.3</v>
      </c>
      <c r="D28">
        <v>43.2</v>
      </c>
      <c r="E28">
        <v>22.2</v>
      </c>
      <c r="F28" t="s">
        <v>105</v>
      </c>
    </row>
    <row r="29" spans="1:6" x14ac:dyDescent="0.25">
      <c r="A29" t="s">
        <v>37</v>
      </c>
      <c r="B29">
        <v>97</v>
      </c>
      <c r="C29">
        <v>45</v>
      </c>
      <c r="D29">
        <v>65.2</v>
      </c>
      <c r="E29">
        <v>476</v>
      </c>
      <c r="F29" t="s">
        <v>103</v>
      </c>
    </row>
    <row r="30" spans="1:6" x14ac:dyDescent="0.25">
      <c r="A30" t="s">
        <v>38</v>
      </c>
      <c r="B30">
        <v>131.5</v>
      </c>
      <c r="C30">
        <v>80.900000000000006</v>
      </c>
      <c r="D30">
        <v>45.9</v>
      </c>
      <c r="E30">
        <v>716.9</v>
      </c>
      <c r="F30" t="s">
        <v>104</v>
      </c>
    </row>
    <row r="31" spans="1:6" x14ac:dyDescent="0.25">
      <c r="A31" t="s">
        <v>39</v>
      </c>
      <c r="B31">
        <v>107.1</v>
      </c>
      <c r="C31">
        <v>48.7</v>
      </c>
      <c r="D31">
        <v>45</v>
      </c>
      <c r="E31">
        <v>4.0999999999999996</v>
      </c>
      <c r="F31" t="s">
        <v>102</v>
      </c>
    </row>
    <row r="32" spans="1:6" x14ac:dyDescent="0.25">
      <c r="A32" t="s">
        <v>40</v>
      </c>
      <c r="B32">
        <v>77.400000000000006</v>
      </c>
      <c r="C32">
        <v>46</v>
      </c>
      <c r="D32">
        <v>41.1</v>
      </c>
      <c r="E32">
        <v>305</v>
      </c>
      <c r="F32" t="s">
        <v>103</v>
      </c>
    </row>
    <row r="33" spans="1:6" x14ac:dyDescent="0.25">
      <c r="A33" t="s">
        <v>41</v>
      </c>
      <c r="B33">
        <v>141.69999999999999</v>
      </c>
      <c r="C33">
        <v>60.9</v>
      </c>
      <c r="D33">
        <v>30.9</v>
      </c>
      <c r="E33">
        <v>226.1</v>
      </c>
      <c r="F33" t="s">
        <v>103</v>
      </c>
    </row>
    <row r="34" spans="1:6" x14ac:dyDescent="0.25">
      <c r="A34" t="s">
        <v>42</v>
      </c>
      <c r="B34">
        <v>98.4</v>
      </c>
      <c r="C34">
        <v>37.299999999999997</v>
      </c>
      <c r="D34">
        <v>41.2</v>
      </c>
      <c r="E34">
        <v>511.7</v>
      </c>
      <c r="F34" t="s">
        <v>104</v>
      </c>
    </row>
    <row r="35" spans="1:6" x14ac:dyDescent="0.25">
      <c r="A35" t="s">
        <v>43</v>
      </c>
      <c r="B35">
        <v>122.9</v>
      </c>
      <c r="C35">
        <v>68.400000000000006</v>
      </c>
      <c r="D35">
        <v>44.1</v>
      </c>
      <c r="E35">
        <v>16.5</v>
      </c>
      <c r="F35" t="s">
        <v>106</v>
      </c>
    </row>
    <row r="36" spans="1:6" x14ac:dyDescent="0.25">
      <c r="A36" t="s">
        <v>44</v>
      </c>
      <c r="B36">
        <v>92.7</v>
      </c>
      <c r="C36">
        <v>73.099999999999994</v>
      </c>
      <c r="D36">
        <v>50</v>
      </c>
      <c r="E36">
        <v>48.1</v>
      </c>
      <c r="F36" t="s">
        <v>106</v>
      </c>
    </row>
    <row r="37" spans="1:6" x14ac:dyDescent="0.25">
      <c r="A37" t="s">
        <v>45</v>
      </c>
      <c r="B37">
        <v>219.4</v>
      </c>
      <c r="C37">
        <v>150.69999999999999</v>
      </c>
      <c r="D37">
        <v>47</v>
      </c>
      <c r="E37">
        <v>51.3</v>
      </c>
      <c r="F37" t="s">
        <v>104</v>
      </c>
    </row>
    <row r="38" spans="1:6" x14ac:dyDescent="0.25">
      <c r="A38" t="s">
        <v>46</v>
      </c>
      <c r="B38">
        <v>65.599999999999994</v>
      </c>
      <c r="C38">
        <v>26.6</v>
      </c>
      <c r="D38">
        <v>82.8</v>
      </c>
      <c r="E38">
        <v>1024.5</v>
      </c>
      <c r="F38" t="s">
        <v>104</v>
      </c>
    </row>
    <row r="39" spans="1:6" x14ac:dyDescent="0.25">
      <c r="A39" t="s">
        <v>47</v>
      </c>
      <c r="B39">
        <v>89.3</v>
      </c>
      <c r="C39">
        <v>38.9</v>
      </c>
      <c r="D39">
        <v>74.2</v>
      </c>
      <c r="E39">
        <v>477.5</v>
      </c>
      <c r="F39" t="s">
        <v>104</v>
      </c>
    </row>
    <row r="40" spans="1:6" x14ac:dyDescent="0.25">
      <c r="A40" t="s">
        <v>48</v>
      </c>
      <c r="B40">
        <v>116.8</v>
      </c>
      <c r="C40">
        <v>60.6</v>
      </c>
      <c r="D40">
        <v>46.7</v>
      </c>
      <c r="E40">
        <v>27.3</v>
      </c>
      <c r="F40" t="s">
        <v>105</v>
      </c>
    </row>
    <row r="41" spans="1:6" x14ac:dyDescent="0.25">
      <c r="A41" t="s">
        <v>49</v>
      </c>
      <c r="B41">
        <v>65.5</v>
      </c>
      <c r="C41">
        <v>42.2</v>
      </c>
      <c r="D41">
        <v>67.099999999999994</v>
      </c>
      <c r="E41">
        <v>325.10000000000002</v>
      </c>
      <c r="F41" t="s">
        <v>103</v>
      </c>
    </row>
    <row r="42" spans="1:6" x14ac:dyDescent="0.25">
      <c r="A42" t="s">
        <v>50</v>
      </c>
      <c r="B42">
        <v>148.5</v>
      </c>
      <c r="C42">
        <v>94.9</v>
      </c>
      <c r="D42">
        <v>38</v>
      </c>
      <c r="E42">
        <v>49.9</v>
      </c>
      <c r="F42" t="s">
        <v>105</v>
      </c>
    </row>
    <row r="43" spans="1:6" x14ac:dyDescent="0.25">
      <c r="A43" t="s">
        <v>51</v>
      </c>
      <c r="B43">
        <v>77</v>
      </c>
      <c r="C43">
        <v>49.5</v>
      </c>
      <c r="D43">
        <v>77.099999999999994</v>
      </c>
      <c r="E43">
        <v>578.79999999999995</v>
      </c>
      <c r="F43" t="s">
        <v>104</v>
      </c>
    </row>
    <row r="44" spans="1:6" x14ac:dyDescent="0.25">
      <c r="A44" t="s">
        <v>52</v>
      </c>
      <c r="B44">
        <v>120.5</v>
      </c>
      <c r="C44">
        <v>91.4</v>
      </c>
      <c r="D44">
        <v>46.8</v>
      </c>
      <c r="E44">
        <v>312.60000000000002</v>
      </c>
      <c r="F44" t="s">
        <v>106</v>
      </c>
    </row>
    <row r="45" spans="1:6" x14ac:dyDescent="0.25">
      <c r="A45" t="s">
        <v>53</v>
      </c>
      <c r="B45">
        <v>104.4</v>
      </c>
      <c r="C45">
        <v>85.3</v>
      </c>
      <c r="D45">
        <v>61.8</v>
      </c>
      <c r="E45">
        <v>93.7</v>
      </c>
      <c r="F45" t="s">
        <v>102</v>
      </c>
    </row>
    <row r="46" spans="1:6" x14ac:dyDescent="0.25">
      <c r="A46" t="s">
        <v>54</v>
      </c>
      <c r="B46">
        <v>74.2</v>
      </c>
      <c r="C46">
        <v>44.6</v>
      </c>
      <c r="D46">
        <v>64.5</v>
      </c>
      <c r="E46">
        <v>146.9</v>
      </c>
      <c r="F46" t="s">
        <v>103</v>
      </c>
    </row>
    <row r="47" spans="1:6" x14ac:dyDescent="0.25">
      <c r="A47" t="s">
        <v>55</v>
      </c>
      <c r="B47">
        <v>143.19999999999999</v>
      </c>
      <c r="C47">
        <v>84.1</v>
      </c>
      <c r="D47">
        <v>61.4</v>
      </c>
      <c r="E47">
        <v>279</v>
      </c>
      <c r="F47" t="s">
        <v>103</v>
      </c>
    </row>
    <row r="48" spans="1:6" x14ac:dyDescent="0.25">
      <c r="A48" t="s">
        <v>56</v>
      </c>
      <c r="B48">
        <v>85.3</v>
      </c>
      <c r="C48">
        <v>56.3</v>
      </c>
      <c r="D48">
        <v>50.9</v>
      </c>
      <c r="E48">
        <v>409.4</v>
      </c>
      <c r="F48" t="s">
        <v>100</v>
      </c>
    </row>
    <row r="49" spans="1:6" x14ac:dyDescent="0.25">
      <c r="A49" t="s">
        <v>57</v>
      </c>
      <c r="B49">
        <v>54.2</v>
      </c>
      <c r="C49">
        <v>44.3</v>
      </c>
      <c r="D49">
        <v>53.3</v>
      </c>
      <c r="E49">
        <v>164.6</v>
      </c>
      <c r="F49" t="s">
        <v>103</v>
      </c>
    </row>
    <row r="50" spans="1:6" x14ac:dyDescent="0.25">
      <c r="A50" t="s">
        <v>58</v>
      </c>
      <c r="B50">
        <v>188.8</v>
      </c>
      <c r="C50">
        <v>82.9</v>
      </c>
      <c r="D50">
        <v>45.1</v>
      </c>
      <c r="E50">
        <v>100.2</v>
      </c>
      <c r="F50" t="s">
        <v>105</v>
      </c>
    </row>
    <row r="51" spans="1:6" x14ac:dyDescent="0.25">
      <c r="A51" t="s">
        <v>59</v>
      </c>
      <c r="B51">
        <v>88.9</v>
      </c>
      <c r="C51">
        <v>50.5</v>
      </c>
      <c r="D51">
        <v>53.3</v>
      </c>
      <c r="E51">
        <v>113</v>
      </c>
      <c r="F51" t="s">
        <v>105</v>
      </c>
    </row>
    <row r="52" spans="1:6" x14ac:dyDescent="0.25">
      <c r="A52" t="s">
        <v>60</v>
      </c>
      <c r="B52">
        <v>109.1</v>
      </c>
      <c r="C52">
        <v>66.099999999999994</v>
      </c>
      <c r="D52">
        <v>56.1</v>
      </c>
      <c r="E52">
        <v>200.8</v>
      </c>
      <c r="F52" t="s">
        <v>106</v>
      </c>
    </row>
    <row r="53" spans="1:6" x14ac:dyDescent="0.25">
      <c r="A53" t="s">
        <v>61</v>
      </c>
      <c r="B53">
        <v>120.3</v>
      </c>
      <c r="C53">
        <v>80.2</v>
      </c>
      <c r="D53">
        <v>44.9</v>
      </c>
      <c r="E53">
        <v>314.60000000000002</v>
      </c>
      <c r="F53" t="s">
        <v>103</v>
      </c>
    </row>
    <row r="54" spans="1:6" x14ac:dyDescent="0.25">
      <c r="A54" t="s">
        <v>62</v>
      </c>
      <c r="B54">
        <v>66.7</v>
      </c>
      <c r="C54">
        <v>28.4</v>
      </c>
      <c r="D54">
        <v>62.6</v>
      </c>
      <c r="E54">
        <v>1.9</v>
      </c>
      <c r="F54" t="s">
        <v>106</v>
      </c>
    </row>
    <row r="55" spans="1:6" x14ac:dyDescent="0.25">
      <c r="A55" t="s">
        <v>63</v>
      </c>
      <c r="B55">
        <v>81.599999999999994</v>
      </c>
      <c r="C55">
        <v>56.8</v>
      </c>
      <c r="D55">
        <v>57.5</v>
      </c>
      <c r="E55">
        <v>24.2</v>
      </c>
      <c r="F55" t="s">
        <v>106</v>
      </c>
    </row>
    <row r="56" spans="1:6" x14ac:dyDescent="0.25">
      <c r="A56" t="s">
        <v>64</v>
      </c>
      <c r="B56">
        <v>49.2</v>
      </c>
      <c r="C56">
        <v>24.6</v>
      </c>
      <c r="D56">
        <v>73.900000000000006</v>
      </c>
      <c r="E56">
        <v>848.8</v>
      </c>
      <c r="F56" t="s">
        <v>100</v>
      </c>
    </row>
    <row r="57" spans="1:6" x14ac:dyDescent="0.25">
      <c r="A57" t="s">
        <v>65</v>
      </c>
      <c r="B57">
        <v>82.5</v>
      </c>
      <c r="C57">
        <v>34</v>
      </c>
      <c r="D57">
        <v>97.6</v>
      </c>
      <c r="E57">
        <v>2521.6</v>
      </c>
      <c r="F57" t="s">
        <v>100</v>
      </c>
    </row>
    <row r="58" spans="1:6" x14ac:dyDescent="0.25">
      <c r="A58" t="s">
        <v>66</v>
      </c>
      <c r="B58">
        <v>89.9</v>
      </c>
      <c r="C58">
        <v>78</v>
      </c>
      <c r="D58">
        <v>37.299999999999997</v>
      </c>
      <c r="E58">
        <v>5.6</v>
      </c>
      <c r="F58" t="s">
        <v>102</v>
      </c>
    </row>
    <row r="59" spans="1:6" x14ac:dyDescent="0.25">
      <c r="A59" t="s">
        <v>68</v>
      </c>
      <c r="B59">
        <v>83.8</v>
      </c>
      <c r="C59">
        <v>62.4</v>
      </c>
      <c r="D59">
        <v>62.8</v>
      </c>
      <c r="E59">
        <v>567.4</v>
      </c>
      <c r="F59" t="s">
        <v>100</v>
      </c>
    </row>
    <row r="60" spans="1:6" x14ac:dyDescent="0.25">
      <c r="A60" t="s">
        <v>69</v>
      </c>
      <c r="B60">
        <v>99.1</v>
      </c>
      <c r="C60">
        <v>48.1</v>
      </c>
      <c r="D60">
        <v>58.7</v>
      </c>
      <c r="E60">
        <v>221.7</v>
      </c>
      <c r="F60" t="s">
        <v>106</v>
      </c>
    </row>
    <row r="61" spans="1:6" x14ac:dyDescent="0.25">
      <c r="A61" t="s">
        <v>70</v>
      </c>
      <c r="B61">
        <v>123.1</v>
      </c>
      <c r="C61">
        <v>69.400000000000006</v>
      </c>
      <c r="D61">
        <v>46.5</v>
      </c>
      <c r="E61">
        <v>384.3</v>
      </c>
      <c r="F61" t="s">
        <v>100</v>
      </c>
    </row>
    <row r="62" spans="1:6" x14ac:dyDescent="0.25">
      <c r="A62" t="s">
        <v>71</v>
      </c>
      <c r="B62">
        <v>85.8</v>
      </c>
      <c r="C62">
        <v>57.4</v>
      </c>
      <c r="D62">
        <v>57.2</v>
      </c>
      <c r="E62">
        <v>136.80000000000001</v>
      </c>
      <c r="F62" t="s">
        <v>101</v>
      </c>
    </row>
    <row r="63" spans="1:6" x14ac:dyDescent="0.25">
      <c r="A63" t="s">
        <v>72</v>
      </c>
      <c r="B63">
        <v>111.1</v>
      </c>
      <c r="C63">
        <v>57.4</v>
      </c>
      <c r="D63">
        <v>64</v>
      </c>
      <c r="E63">
        <v>11.7</v>
      </c>
      <c r="F63" t="s">
        <v>105</v>
      </c>
    </row>
    <row r="64" spans="1:6" x14ac:dyDescent="0.25">
      <c r="A64" t="s">
        <v>73</v>
      </c>
      <c r="B64">
        <v>124.1</v>
      </c>
      <c r="C64">
        <v>61.3</v>
      </c>
      <c r="D64">
        <v>84.4</v>
      </c>
      <c r="E64">
        <v>481</v>
      </c>
      <c r="F64" t="s">
        <v>104</v>
      </c>
    </row>
    <row r="65" spans="1:6" x14ac:dyDescent="0.25">
      <c r="A65" t="s">
        <v>74</v>
      </c>
      <c r="B65">
        <v>171.2</v>
      </c>
      <c r="C65">
        <v>91.5</v>
      </c>
      <c r="D65">
        <v>48.3</v>
      </c>
      <c r="E65">
        <v>139.30000000000001</v>
      </c>
      <c r="F65" t="s">
        <v>100</v>
      </c>
    </row>
    <row r="66" spans="1:6" x14ac:dyDescent="0.25">
      <c r="A66" t="s">
        <v>75</v>
      </c>
      <c r="B66">
        <v>166.4</v>
      </c>
      <c r="C66">
        <v>79.5</v>
      </c>
      <c r="D66">
        <v>26.3</v>
      </c>
      <c r="E66">
        <v>115.8</v>
      </c>
      <c r="F66" t="s">
        <v>103</v>
      </c>
    </row>
    <row r="67" spans="1:6" x14ac:dyDescent="0.25">
      <c r="A67" t="s">
        <v>76</v>
      </c>
      <c r="B67">
        <v>93</v>
      </c>
      <c r="C67">
        <v>58.9</v>
      </c>
      <c r="D67">
        <v>71.2</v>
      </c>
      <c r="E67">
        <v>183.1</v>
      </c>
      <c r="F67" t="s">
        <v>105</v>
      </c>
    </row>
    <row r="68" spans="1:6" x14ac:dyDescent="0.25">
      <c r="A68" t="s">
        <v>77</v>
      </c>
      <c r="B68">
        <v>122.8</v>
      </c>
      <c r="C68">
        <v>50.2</v>
      </c>
      <c r="D68">
        <v>45.4</v>
      </c>
      <c r="E68">
        <v>363.3</v>
      </c>
      <c r="F68" t="s">
        <v>104</v>
      </c>
    </row>
    <row r="69" spans="1:6" x14ac:dyDescent="0.25">
      <c r="A69" t="s">
        <v>78</v>
      </c>
      <c r="B69">
        <v>87.2</v>
      </c>
      <c r="C69">
        <v>81</v>
      </c>
      <c r="D69">
        <v>53.4</v>
      </c>
      <c r="E69">
        <v>4.4000000000000004</v>
      </c>
      <c r="F69" t="s">
        <v>102</v>
      </c>
    </row>
    <row r="70" spans="1:6" x14ac:dyDescent="0.25">
      <c r="A70" t="s">
        <v>79</v>
      </c>
      <c r="B70">
        <v>127.1</v>
      </c>
      <c r="C70">
        <v>62</v>
      </c>
      <c r="D70">
        <v>51.4</v>
      </c>
      <c r="E70">
        <v>365.4</v>
      </c>
      <c r="F70" t="s">
        <v>100</v>
      </c>
    </row>
    <row r="71" spans="1:6" x14ac:dyDescent="0.25">
      <c r="A71" t="s">
        <v>80</v>
      </c>
      <c r="B71">
        <v>95.5</v>
      </c>
      <c r="C71">
        <v>59.8</v>
      </c>
      <c r="D71">
        <v>59.8</v>
      </c>
      <c r="E71">
        <v>518.9</v>
      </c>
      <c r="F71" t="s">
        <v>106</v>
      </c>
    </row>
    <row r="72" spans="1:6" x14ac:dyDescent="0.25">
      <c r="A72" t="s">
        <v>81</v>
      </c>
      <c r="B72">
        <v>95.1</v>
      </c>
      <c r="C72">
        <v>44.2</v>
      </c>
      <c r="D72">
        <v>62.4</v>
      </c>
      <c r="E72">
        <v>665.7</v>
      </c>
      <c r="F72" t="s">
        <v>104</v>
      </c>
    </row>
    <row r="73" spans="1:6" x14ac:dyDescent="0.25">
      <c r="A73" t="s">
        <v>82</v>
      </c>
      <c r="B73">
        <v>117</v>
      </c>
      <c r="C73">
        <v>54.8</v>
      </c>
      <c r="D73">
        <v>44.6</v>
      </c>
      <c r="E73">
        <v>33</v>
      </c>
      <c r="F73" t="s">
        <v>105</v>
      </c>
    </row>
    <row r="74" spans="1:6" x14ac:dyDescent="0.25">
      <c r="A74" t="s">
        <v>83</v>
      </c>
      <c r="B74">
        <v>113.7</v>
      </c>
      <c r="C74">
        <v>72.3</v>
      </c>
      <c r="D74">
        <v>57.3</v>
      </c>
      <c r="E74">
        <v>338.4</v>
      </c>
      <c r="F74" t="s">
        <v>100</v>
      </c>
    </row>
    <row r="75" spans="1:6" x14ac:dyDescent="0.25">
      <c r="A75" t="s">
        <v>85</v>
      </c>
      <c r="B75">
        <v>97.9</v>
      </c>
      <c r="C75">
        <v>53.7</v>
      </c>
      <c r="D75">
        <v>46.1</v>
      </c>
      <c r="E75">
        <v>34.9</v>
      </c>
      <c r="F75" t="s">
        <v>102</v>
      </c>
    </row>
    <row r="76" spans="1:6" x14ac:dyDescent="0.25">
      <c r="A76" t="s">
        <v>86</v>
      </c>
      <c r="B76">
        <v>123.1</v>
      </c>
      <c r="C76">
        <v>67.2</v>
      </c>
      <c r="D76">
        <v>41.4</v>
      </c>
      <c r="E76">
        <v>71.2</v>
      </c>
      <c r="F76" t="s">
        <v>102</v>
      </c>
    </row>
    <row r="77" spans="1:6" x14ac:dyDescent="0.25">
      <c r="A77" t="s">
        <v>88</v>
      </c>
      <c r="B77">
        <v>111.7</v>
      </c>
      <c r="C77">
        <v>68.7</v>
      </c>
      <c r="D77">
        <v>56.7</v>
      </c>
      <c r="E77">
        <v>429.3</v>
      </c>
      <c r="F77" t="s">
        <v>100</v>
      </c>
    </row>
    <row r="78" spans="1:6" x14ac:dyDescent="0.25">
      <c r="A78" t="s">
        <v>89</v>
      </c>
      <c r="B78">
        <v>115.5</v>
      </c>
      <c r="C78">
        <v>66.599999999999994</v>
      </c>
      <c r="D78">
        <v>42.9</v>
      </c>
      <c r="E78">
        <v>110.7</v>
      </c>
      <c r="F78" t="s">
        <v>106</v>
      </c>
    </row>
    <row r="79" spans="1:6" x14ac:dyDescent="0.25">
      <c r="A79" t="s">
        <v>90</v>
      </c>
      <c r="B79">
        <v>86.3</v>
      </c>
      <c r="C79">
        <v>58.1</v>
      </c>
      <c r="D79">
        <v>29.7</v>
      </c>
      <c r="E79">
        <v>153.4</v>
      </c>
      <c r="F79" t="s">
        <v>104</v>
      </c>
    </row>
    <row r="80" spans="1:6" x14ac:dyDescent="0.25">
      <c r="A80" t="s">
        <v>91</v>
      </c>
      <c r="B80">
        <v>160.4</v>
      </c>
      <c r="C80">
        <v>84.5</v>
      </c>
      <c r="D80">
        <v>43.5</v>
      </c>
      <c r="E80">
        <v>394.2</v>
      </c>
      <c r="F80" t="s">
        <v>100</v>
      </c>
    </row>
    <row r="81" spans="1:6" x14ac:dyDescent="0.25">
      <c r="A81" t="s">
        <v>92</v>
      </c>
      <c r="B81">
        <v>65.7</v>
      </c>
      <c r="C81">
        <v>23.8</v>
      </c>
      <c r="D81">
        <v>49.4</v>
      </c>
      <c r="E81">
        <v>331.2</v>
      </c>
      <c r="F81" t="s">
        <v>100</v>
      </c>
    </row>
    <row r="82" spans="1:6" x14ac:dyDescent="0.25">
      <c r="A82" t="s">
        <v>93</v>
      </c>
      <c r="B82">
        <v>82.2</v>
      </c>
      <c r="C82">
        <v>51.6</v>
      </c>
      <c r="D82">
        <v>77.3</v>
      </c>
      <c r="E82">
        <v>732</v>
      </c>
      <c r="F82" t="s">
        <v>100</v>
      </c>
    </row>
    <row r="83" spans="1:6" x14ac:dyDescent="0.25">
      <c r="A83" t="s">
        <v>94</v>
      </c>
      <c r="B83">
        <v>122.4</v>
      </c>
      <c r="C83">
        <v>57.6</v>
      </c>
      <c r="D83">
        <v>39.9</v>
      </c>
      <c r="E83">
        <v>84.8</v>
      </c>
      <c r="F83" t="s">
        <v>104</v>
      </c>
    </row>
    <row r="84" spans="1:6" x14ac:dyDescent="0.25">
      <c r="A84" t="s">
        <v>95</v>
      </c>
      <c r="B84">
        <v>67.099999999999994</v>
      </c>
      <c r="C84">
        <v>36.700000000000003</v>
      </c>
      <c r="D84">
        <v>15.7</v>
      </c>
      <c r="E84">
        <v>29.6</v>
      </c>
      <c r="F84" t="s">
        <v>106</v>
      </c>
    </row>
    <row r="85" spans="1:6" x14ac:dyDescent="0.25">
      <c r="A85" t="s">
        <v>96</v>
      </c>
      <c r="B85">
        <v>166.8</v>
      </c>
      <c r="C85">
        <v>98.9</v>
      </c>
      <c r="D85">
        <v>33.5</v>
      </c>
      <c r="E85">
        <v>37.200000000000003</v>
      </c>
      <c r="F85" t="s">
        <v>102</v>
      </c>
    </row>
    <row r="86" spans="1:6" x14ac:dyDescent="0.25">
      <c r="A86" t="s">
        <v>97</v>
      </c>
      <c r="B86">
        <v>105.4</v>
      </c>
      <c r="C86">
        <v>65.7</v>
      </c>
      <c r="D86">
        <v>36.299999999999997</v>
      </c>
      <c r="E86">
        <v>199.8</v>
      </c>
      <c r="F86" t="s">
        <v>105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</vt:i4>
      </vt:variant>
    </vt:vector>
  </HeadingPairs>
  <TitlesOfParts>
    <vt:vector size="29" baseType="lpstr">
      <vt:lpstr>Скач.Табл. 2022 ДТП</vt:lpstr>
      <vt:lpstr>Передел. Скач.Табл. 2022 ДТП</vt:lpstr>
      <vt:lpstr>Дин.Скач.ДТП2019</vt:lpstr>
      <vt:lpstr>Редач.Дин.ДТП2019</vt:lpstr>
      <vt:lpstr>ВосстРедач.Дин.ДТП2018</vt:lpstr>
      <vt:lpstr>Редач.Дин.ДТП2020</vt:lpstr>
      <vt:lpstr>Дин.Скач.ДТП2020</vt:lpstr>
      <vt:lpstr>ВосстРедач.Дин.ДТП2021</vt:lpstr>
      <vt:lpstr>Дин.Скач.ДТП2023</vt:lpstr>
      <vt:lpstr>Редач.Дин.ДТП2023</vt:lpstr>
      <vt:lpstr>Скачанные таблицы 2024 ДТП Плот</vt:lpstr>
      <vt:lpstr>Переделанная таблица 2024</vt:lpstr>
      <vt:lpstr>Рабочая таблица 2024</vt:lpstr>
      <vt:lpstr>ДиспАнДТП</vt:lpstr>
      <vt:lpstr>ДиспАнПлотность</vt:lpstr>
      <vt:lpstr>Таблица с одним кач и двумя кол</vt:lpstr>
      <vt:lpstr>Груп. по кач. пр. 1, 2</vt:lpstr>
      <vt:lpstr>Груп. по кол. пр. 1, 2</vt:lpstr>
      <vt:lpstr>РядДинамики</vt:lpstr>
      <vt:lpstr>РядДинамикиПродолжение</vt:lpstr>
      <vt:lpstr>ПакетАнализаРегрессия</vt:lpstr>
      <vt:lpstr>ВспомогательнаяКСводной</vt:lpstr>
      <vt:lpstr>АвтоматичВспомогатКРегрессии</vt:lpstr>
      <vt:lpstr>Уравнение регрессии</vt:lpstr>
      <vt:lpstr>DPCache_Рабочая таблица</vt:lpstr>
      <vt:lpstr>DPCache_Таблица с одним кач и д</vt:lpstr>
      <vt:lpstr>DPCache_Рабочая таблица -1</vt:lpstr>
      <vt:lpstr>DPCache_Рабочая таблица 0</vt:lpstr>
      <vt:lpstr>DPCache_Рабочая таблица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dc:description/>
  <cp:lastModifiedBy>ПК</cp:lastModifiedBy>
  <cp:revision>1</cp:revision>
  <dcterms:created xsi:type="dcterms:W3CDTF">2006-09-16T00:00:00Z</dcterms:created>
  <dcterms:modified xsi:type="dcterms:W3CDTF">2024-12-27T11:29:02Z</dcterms:modified>
  <dc:language>ru-RU</dc:language>
</cp:coreProperties>
</file>